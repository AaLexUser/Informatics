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ejlapin/Documents/"/>
    </mc:Choice>
  </mc:AlternateContent>
  <xr:revisionPtr revIDLastSave="0" documentId="13_ncr:1_{616011B6-4AF1-0947-B2EE-28E39C474281}" xr6:coauthVersionLast="47" xr6:coauthVersionMax="47" xr10:uidLastSave="{00000000-0000-0000-0000-000000000000}"/>
  <bookViews>
    <workbookView xWindow="0" yWindow="0" windowWidth="28800" windowHeight="18000" xr2:uid="{A9E63A8C-96E6-AF4C-860F-B98BF54B258E}"/>
  </bookViews>
  <sheets>
    <sheet name="Лист1" sheetId="1" r:id="rId1"/>
    <sheet name="Лист2" sheetId="2" r:id="rId2"/>
  </sheets>
  <functionGroup name="Commands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BB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C70" i="1"/>
  <c r="AG69" i="1"/>
  <c r="AL69" i="1"/>
  <c r="AQ69" i="1"/>
  <c r="BB56" i="1"/>
  <c r="AG57" i="1"/>
  <c r="AL57" i="1"/>
  <c r="AQ57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C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G5" i="1"/>
  <c r="AC5" i="1" s="1"/>
  <c r="H5" i="1"/>
  <c r="AD5" i="1" s="1"/>
  <c r="I5" i="1"/>
  <c r="AE5" i="1" s="1"/>
  <c r="J5" i="1"/>
  <c r="L5" i="1"/>
  <c r="M5" i="1"/>
  <c r="O5" i="1"/>
  <c r="AK5" i="1" s="1"/>
  <c r="Q5" i="1"/>
  <c r="R5" i="1"/>
  <c r="S5" i="1"/>
  <c r="T5" i="1"/>
  <c r="V5" i="1"/>
  <c r="W5" i="1"/>
  <c r="Y5" i="1"/>
  <c r="C11" i="1"/>
  <c r="BB44" i="1" s="1"/>
  <c r="C7" i="1"/>
  <c r="I7" i="1" s="1"/>
  <c r="C8" i="1"/>
  <c r="H8" i="1" s="1"/>
  <c r="C4" i="1"/>
  <c r="G4" i="1" s="1"/>
  <c r="C5" i="1"/>
  <c r="C6" i="1"/>
  <c r="AC4" i="1" l="1"/>
  <c r="AC69" i="1"/>
  <c r="BB18" i="1"/>
  <c r="BB83" i="1"/>
  <c r="Q6" i="1"/>
  <c r="M4" i="1"/>
  <c r="BB69" i="1"/>
  <c r="BB72" i="1" s="1"/>
  <c r="M6" i="1"/>
  <c r="L7" i="1"/>
  <c r="L6" i="1"/>
  <c r="W6" i="1"/>
  <c r="J6" i="1"/>
  <c r="I6" i="1"/>
  <c r="W4" i="1"/>
  <c r="S6" i="1"/>
  <c r="V7" i="1"/>
  <c r="V6" i="1"/>
  <c r="Y4" i="1"/>
  <c r="T6" i="1"/>
  <c r="H6" i="1"/>
  <c r="G6" i="1"/>
  <c r="X4" i="1"/>
  <c r="R6" i="1"/>
  <c r="AH30" i="1"/>
  <c r="AH17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BB20" i="1"/>
  <c r="C12" i="1"/>
  <c r="BB57" i="1" s="1"/>
  <c r="BB59" i="1" s="1"/>
  <c r="S4" i="1"/>
  <c r="J4" i="1"/>
  <c r="AF69" i="1" s="1"/>
  <c r="Y8" i="1"/>
  <c r="Y14" i="1" s="1"/>
  <c r="O8" i="1"/>
  <c r="O14" i="1" s="1"/>
  <c r="Y7" i="1"/>
  <c r="Y13" i="1" s="1"/>
  <c r="O7" i="1"/>
  <c r="O13" i="1" s="1"/>
  <c r="N13" i="1" s="1"/>
  <c r="Y6" i="1"/>
  <c r="AU83" i="1" s="1"/>
  <c r="O6" i="1"/>
  <c r="AK83" i="1" s="1"/>
  <c r="AU30" i="1"/>
  <c r="AU17" i="1"/>
  <c r="BB30" i="1"/>
  <c r="BB17" i="1"/>
  <c r="C13" i="1"/>
  <c r="T4" i="1"/>
  <c r="AP69" i="1" s="1"/>
  <c r="I4" i="1"/>
  <c r="X8" i="1"/>
  <c r="N8" i="1"/>
  <c r="X7" i="1"/>
  <c r="N7" i="1"/>
  <c r="X6" i="1"/>
  <c r="N6" i="1"/>
  <c r="X5" i="1"/>
  <c r="N5" i="1"/>
  <c r="AN5" i="1"/>
  <c r="AF5" i="1"/>
  <c r="V8" i="1"/>
  <c r="J7" i="1"/>
  <c r="J13" i="1" s="1"/>
  <c r="I13" i="1" s="1"/>
  <c r="C14" i="1"/>
  <c r="BB82" i="1" s="1"/>
  <c r="V4" i="1"/>
  <c r="H4" i="1"/>
  <c r="W8" i="1"/>
  <c r="M8" i="1"/>
  <c r="W7" i="1"/>
  <c r="M7" i="1"/>
  <c r="AS17" i="1"/>
  <c r="AS30" i="1"/>
  <c r="AI30" i="1"/>
  <c r="AI17" i="1"/>
  <c r="J11" i="1"/>
  <c r="AF44" i="1" s="1"/>
  <c r="AU4" i="1"/>
  <c r="AU5" i="1"/>
  <c r="AM5" i="1"/>
  <c r="BB4" i="1"/>
  <c r="BB5" i="1"/>
  <c r="AF30" i="1"/>
  <c r="AF17" i="1"/>
  <c r="Y11" i="1"/>
  <c r="AU44" i="1" s="1"/>
  <c r="AS5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AP44" i="1" s="1"/>
  <c r="AI5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K44" i="1" s="1"/>
  <c r="AO5" i="1"/>
  <c r="M13" i="1" l="1"/>
  <c r="L13" i="1" s="1"/>
  <c r="X13" i="1"/>
  <c r="BB85" i="1"/>
  <c r="S13" i="1"/>
  <c r="R13" i="1" s="1"/>
  <c r="Q13" i="1" s="1"/>
  <c r="H13" i="1"/>
  <c r="G13" i="1" s="1"/>
  <c r="W13" i="1"/>
  <c r="V13" i="1" s="1"/>
  <c r="AT18" i="1"/>
  <c r="AT83" i="1"/>
  <c r="N14" i="1"/>
  <c r="AK82" i="1"/>
  <c r="AI18" i="1"/>
  <c r="AI83" i="1"/>
  <c r="AJ4" i="1"/>
  <c r="AJ69" i="1"/>
  <c r="AO4" i="1"/>
  <c r="AO69" i="1"/>
  <c r="AM4" i="1"/>
  <c r="AM69" i="1"/>
  <c r="AN18" i="1"/>
  <c r="AN83" i="1"/>
  <c r="AO18" i="1"/>
  <c r="AO83" i="1"/>
  <c r="AJ18" i="1"/>
  <c r="AJ83" i="1"/>
  <c r="AH4" i="1"/>
  <c r="AH69" i="1"/>
  <c r="AF72" i="1" s="1"/>
  <c r="AT4" i="1"/>
  <c r="AT69" i="1"/>
  <c r="AS4" i="1"/>
  <c r="AF11" i="1" s="1"/>
  <c r="AS69" i="1"/>
  <c r="AI4" i="1"/>
  <c r="AI69" i="1"/>
  <c r="AR4" i="1"/>
  <c r="AR69" i="1"/>
  <c r="AP72" i="1" s="1"/>
  <c r="S12" i="1"/>
  <c r="AP57" i="1"/>
  <c r="I12" i="1"/>
  <c r="AF57" i="1"/>
  <c r="AE4" i="1"/>
  <c r="AE69" i="1"/>
  <c r="AN4" i="1"/>
  <c r="AN69" i="1"/>
  <c r="AC18" i="1"/>
  <c r="AC83" i="1"/>
  <c r="AE18" i="1"/>
  <c r="AE83" i="1"/>
  <c r="AM18" i="1"/>
  <c r="AM83" i="1"/>
  <c r="AD18" i="1"/>
  <c r="AD83" i="1"/>
  <c r="AF18" i="1"/>
  <c r="AF83" i="1"/>
  <c r="AP18" i="1"/>
  <c r="AP83" i="1"/>
  <c r="AS18" i="1"/>
  <c r="AS83" i="1"/>
  <c r="Y10" i="1"/>
  <c r="AU69" i="1"/>
  <c r="AH18" i="1"/>
  <c r="AH83" i="1"/>
  <c r="AD4" i="1"/>
  <c r="AD69" i="1"/>
  <c r="X14" i="1"/>
  <c r="AU82" i="1"/>
  <c r="AU85" i="1" s="1"/>
  <c r="AR18" i="1"/>
  <c r="AR83" i="1"/>
  <c r="AJ30" i="1"/>
  <c r="AJ17" i="1"/>
  <c r="AJ5" i="1"/>
  <c r="S14" i="1"/>
  <c r="AT17" i="1"/>
  <c r="AT30" i="1"/>
  <c r="AT5" i="1"/>
  <c r="I14" i="1"/>
  <c r="X11" i="1"/>
  <c r="S11" i="1"/>
  <c r="AU7" i="1"/>
  <c r="AT7" i="1" s="1"/>
  <c r="I11" i="1"/>
  <c r="AU18" i="1"/>
  <c r="AU20" i="1" s="1"/>
  <c r="Y12" i="1"/>
  <c r="AK4" i="1"/>
  <c r="O10" i="1"/>
  <c r="BB43" i="1"/>
  <c r="BB46" i="1" s="1"/>
  <c r="BB31" i="1"/>
  <c r="BB33" i="1" s="1"/>
  <c r="AP4" i="1"/>
  <c r="T10" i="1"/>
  <c r="BB7" i="1"/>
  <c r="AF4" i="1"/>
  <c r="J10" i="1"/>
  <c r="N11" i="1"/>
  <c r="AK18" i="1"/>
  <c r="O12" i="1"/>
  <c r="Y9" i="1"/>
  <c r="Y15" i="1" s="1"/>
  <c r="Q9" i="1"/>
  <c r="H9" i="1"/>
  <c r="S9" i="1"/>
  <c r="J9" i="1"/>
  <c r="J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O72" i="1" l="1"/>
  <c r="AN72" i="1" s="1"/>
  <c r="AM72" i="1" s="1"/>
  <c r="AK72" i="1" s="1"/>
  <c r="AJ72" i="1" s="1"/>
  <c r="AP20" i="1"/>
  <c r="AO20" i="1" s="1"/>
  <c r="AR7" i="1"/>
  <c r="AP7" i="1" s="1"/>
  <c r="AN20" i="1"/>
  <c r="I15" i="1"/>
  <c r="H15" i="1" s="1"/>
  <c r="G15" i="1" s="1"/>
  <c r="AM20" i="1"/>
  <c r="AK20" i="1" s="1"/>
  <c r="S15" i="1"/>
  <c r="R15" i="1" s="1"/>
  <c r="Q15" i="1" s="1"/>
  <c r="R14" i="1"/>
  <c r="AO82" i="1"/>
  <c r="AU72" i="1"/>
  <c r="AT72" i="1"/>
  <c r="R12" i="1"/>
  <c r="AO57" i="1"/>
  <c r="X10" i="1"/>
  <c r="AU31" i="1"/>
  <c r="AU33" i="1" s="1"/>
  <c r="AU43" i="1"/>
  <c r="AU46" i="1" s="1"/>
  <c r="AE72" i="1"/>
  <c r="N12" i="1"/>
  <c r="AK57" i="1"/>
  <c r="N15" i="1"/>
  <c r="M15" i="1" s="1"/>
  <c r="L15" i="1" s="1"/>
  <c r="AU86" i="1"/>
  <c r="H14" i="1"/>
  <c r="AE82" i="1"/>
  <c r="W14" i="1"/>
  <c r="AT82" i="1"/>
  <c r="AT85" i="1" s="1"/>
  <c r="AD72" i="1"/>
  <c r="AU21" i="1"/>
  <c r="AT8" i="1"/>
  <c r="AU8" i="1"/>
  <c r="AC7" i="1"/>
  <c r="AF14" i="1" s="1"/>
  <c r="AF76" i="1"/>
  <c r="AR72" i="1"/>
  <c r="M14" i="1"/>
  <c r="AJ82" i="1"/>
  <c r="H12" i="1"/>
  <c r="AE57" i="1"/>
  <c r="X12" i="1"/>
  <c r="AU57" i="1"/>
  <c r="X15" i="1"/>
  <c r="W15" i="1" s="1"/>
  <c r="V15" i="1" s="1"/>
  <c r="AS72" i="1"/>
  <c r="AT20" i="1"/>
  <c r="AO7" i="1"/>
  <c r="AS7" i="1"/>
  <c r="AS8" i="1" s="1"/>
  <c r="I10" i="1"/>
  <c r="AF43" i="1"/>
  <c r="AF31" i="1"/>
  <c r="N10" i="1"/>
  <c r="AK31" i="1"/>
  <c r="AK43" i="1"/>
  <c r="H11" i="1"/>
  <c r="AE44" i="1"/>
  <c r="R11" i="1"/>
  <c r="AO44" i="1"/>
  <c r="M11" i="1"/>
  <c r="AJ44" i="1"/>
  <c r="S10" i="1"/>
  <c r="AP31" i="1"/>
  <c r="AP43" i="1"/>
  <c r="W11" i="1"/>
  <c r="AT44" i="1"/>
  <c r="AF75" i="1" l="1"/>
  <c r="AR8" i="1"/>
  <c r="AP8" i="1" s="1"/>
  <c r="AO8" i="1" s="1"/>
  <c r="AN7" i="1"/>
  <c r="AM7" i="1" s="1"/>
  <c r="AF13" i="1"/>
  <c r="AF9" i="1"/>
  <c r="AS20" i="1"/>
  <c r="AR20" i="1" s="1"/>
  <c r="AS21" i="1"/>
  <c r="AT21" i="1"/>
  <c r="M12" i="1"/>
  <c r="AJ57" i="1"/>
  <c r="Q12" i="1"/>
  <c r="AM57" i="1" s="1"/>
  <c r="AN57" i="1"/>
  <c r="AT86" i="1"/>
  <c r="AU73" i="1"/>
  <c r="AT73" i="1"/>
  <c r="AS73" i="1" s="1"/>
  <c r="AR73" i="1" s="1"/>
  <c r="AP73" i="1" s="1"/>
  <c r="AO73" i="1" s="1"/>
  <c r="AN73" i="1" s="1"/>
  <c r="AM73" i="1" s="1"/>
  <c r="AK73" i="1" s="1"/>
  <c r="AJ73" i="1" s="1"/>
  <c r="AI73" i="1" s="1"/>
  <c r="AH73" i="1" s="1"/>
  <c r="AF73" i="1" s="1"/>
  <c r="AE73" i="1" s="1"/>
  <c r="AD73" i="1" s="1"/>
  <c r="G12" i="1"/>
  <c r="AC57" i="1" s="1"/>
  <c r="AD57" i="1"/>
  <c r="AU47" i="1"/>
  <c r="AU34" i="1"/>
  <c r="Q14" i="1"/>
  <c r="AM82" i="1" s="1"/>
  <c r="AN82" i="1"/>
  <c r="AS85" i="1"/>
  <c r="AC72" i="1"/>
  <c r="V14" i="1"/>
  <c r="AR82" i="1" s="1"/>
  <c r="AS82" i="1"/>
  <c r="AJ20" i="1"/>
  <c r="AT31" i="1"/>
  <c r="AT43" i="1"/>
  <c r="AT46" i="1" s="1"/>
  <c r="AT47" i="1" s="1"/>
  <c r="W10" i="1"/>
  <c r="W12" i="1"/>
  <c r="AT57" i="1"/>
  <c r="AI82" i="1"/>
  <c r="L14" i="1"/>
  <c r="AH82" i="1" s="1"/>
  <c r="AU59" i="1"/>
  <c r="G14" i="1"/>
  <c r="AC82" i="1" s="1"/>
  <c r="AD82" i="1"/>
  <c r="AD85" i="1" s="1"/>
  <c r="AI72" i="1"/>
  <c r="AH72" i="1" s="1"/>
  <c r="AF10" i="1"/>
  <c r="G11" i="1"/>
  <c r="AC44" i="1" s="1"/>
  <c r="AD44" i="1"/>
  <c r="L11" i="1"/>
  <c r="AH44" i="1" s="1"/>
  <c r="AI44" i="1"/>
  <c r="V11" i="1"/>
  <c r="AR44" i="1" s="1"/>
  <c r="AS44" i="1"/>
  <c r="H10" i="1"/>
  <c r="AE31" i="1"/>
  <c r="AE43" i="1"/>
  <c r="Q11" i="1"/>
  <c r="AM44" i="1" s="1"/>
  <c r="AN44" i="1"/>
  <c r="R10" i="1"/>
  <c r="AO43" i="1"/>
  <c r="AO31" i="1"/>
  <c r="M10" i="1"/>
  <c r="AJ43" i="1"/>
  <c r="AJ31" i="1"/>
  <c r="AF24" i="1" l="1"/>
  <c r="AI20" i="1"/>
  <c r="AH20" i="1" s="1"/>
  <c r="AF20" i="1" s="1"/>
  <c r="AE20" i="1" s="1"/>
  <c r="AD20" i="1" s="1"/>
  <c r="AK7" i="1"/>
  <c r="AJ7" i="1" s="1"/>
  <c r="AI7" i="1" s="1"/>
  <c r="AH7" i="1" s="1"/>
  <c r="AF7" i="1" s="1"/>
  <c r="AE7" i="1" s="1"/>
  <c r="AD7" i="1" s="1"/>
  <c r="AT59" i="1"/>
  <c r="AT60" i="1" s="1"/>
  <c r="AN8" i="1"/>
  <c r="AF77" i="1"/>
  <c r="AF74" i="1"/>
  <c r="AF78" i="1"/>
  <c r="AW72" i="1"/>
  <c r="V12" i="1"/>
  <c r="AR57" i="1" s="1"/>
  <c r="AS57" i="1"/>
  <c r="AS59" i="1" s="1"/>
  <c r="AS31" i="1"/>
  <c r="AS33" i="1" s="1"/>
  <c r="V10" i="1"/>
  <c r="AS43" i="1"/>
  <c r="L12" i="1"/>
  <c r="AH57" i="1" s="1"/>
  <c r="AI57" i="1"/>
  <c r="AU60" i="1"/>
  <c r="AR21" i="1"/>
  <c r="AP21" i="1" s="1"/>
  <c r="AO21" i="1" s="1"/>
  <c r="AN21" i="1" s="1"/>
  <c r="AM21" i="1" s="1"/>
  <c r="AK21" i="1" s="1"/>
  <c r="AR85" i="1"/>
  <c r="AP85" i="1" s="1"/>
  <c r="AO85" i="1" s="1"/>
  <c r="AF89" i="1"/>
  <c r="AT33" i="1"/>
  <c r="AT34" i="1" s="1"/>
  <c r="AS86" i="1"/>
  <c r="AF79" i="1"/>
  <c r="AC85" i="1"/>
  <c r="AF92" i="1" s="1"/>
  <c r="AJ21" i="1"/>
  <c r="AI21" i="1" s="1"/>
  <c r="AH21" i="1" s="1"/>
  <c r="AF21" i="1" s="1"/>
  <c r="AE21" i="1" s="1"/>
  <c r="AD21" i="1" s="1"/>
  <c r="L10" i="1"/>
  <c r="AI31" i="1"/>
  <c r="AI43" i="1"/>
  <c r="G10" i="1"/>
  <c r="AD31" i="1"/>
  <c r="AD43" i="1"/>
  <c r="Q10" i="1"/>
  <c r="AN31" i="1"/>
  <c r="AN43" i="1"/>
  <c r="AF23" i="1"/>
  <c r="AS34" i="1" l="1"/>
  <c r="AC20" i="1"/>
  <c r="AF27" i="1"/>
  <c r="AR86" i="1"/>
  <c r="AP86" i="1" s="1"/>
  <c r="AO86" i="1" s="1"/>
  <c r="AM8" i="1"/>
  <c r="AK8" i="1" s="1"/>
  <c r="AS60" i="1"/>
  <c r="AF12" i="1"/>
  <c r="AJ8" i="1"/>
  <c r="AI8" i="1" s="1"/>
  <c r="AH8" i="1" s="1"/>
  <c r="AF8" i="1" s="1"/>
  <c r="AE8" i="1" s="1"/>
  <c r="AD8" i="1" s="1"/>
  <c r="AH59" i="1"/>
  <c r="AF37" i="1"/>
  <c r="AW20" i="1"/>
  <c r="AR31" i="1"/>
  <c r="AP33" i="1" s="1"/>
  <c r="AO33" i="1" s="1"/>
  <c r="AN33" i="1" s="1"/>
  <c r="AR43" i="1"/>
  <c r="AS46" i="1"/>
  <c r="AN85" i="1"/>
  <c r="AM85" i="1" s="1"/>
  <c r="AF91" i="1"/>
  <c r="AF59" i="1"/>
  <c r="AE59" i="1" s="1"/>
  <c r="AD59" i="1" s="1"/>
  <c r="AF63" i="1"/>
  <c r="AR59" i="1"/>
  <c r="AP59" i="1" s="1"/>
  <c r="AO59" i="1" s="1"/>
  <c r="AN59" i="1" s="1"/>
  <c r="AM59" i="1" s="1"/>
  <c r="AF87" i="1"/>
  <c r="AH31" i="1"/>
  <c r="AF33" i="1" s="1"/>
  <c r="AH43" i="1"/>
  <c r="AC31" i="1"/>
  <c r="AC43" i="1"/>
  <c r="AM31" i="1"/>
  <c r="AM43" i="1"/>
  <c r="AF22" i="1" l="1"/>
  <c r="AF26" i="1"/>
  <c r="AF62" i="1"/>
  <c r="AK59" i="1"/>
  <c r="AJ59" i="1" s="1"/>
  <c r="AI59" i="1" s="1"/>
  <c r="AH60" i="1" s="1"/>
  <c r="AF60" i="1" s="1"/>
  <c r="AE60" i="1" s="1"/>
  <c r="AD60" i="1" s="1"/>
  <c r="AF25" i="1"/>
  <c r="AC46" i="1"/>
  <c r="AF53" i="1" s="1"/>
  <c r="AW7" i="1"/>
  <c r="AR60" i="1"/>
  <c r="AP60" i="1" s="1"/>
  <c r="AO60" i="1" s="1"/>
  <c r="AN60" i="1" s="1"/>
  <c r="AM60" i="1" s="1"/>
  <c r="AK60" i="1" s="1"/>
  <c r="AJ60" i="1" s="1"/>
  <c r="AI60" i="1" s="1"/>
  <c r="AK46" i="1"/>
  <c r="AR33" i="1"/>
  <c r="AR34" i="1" s="1"/>
  <c r="AP34" i="1" s="1"/>
  <c r="AO34" i="1" s="1"/>
  <c r="AN34" i="1" s="1"/>
  <c r="AS47" i="1"/>
  <c r="AF66" i="1"/>
  <c r="AC59" i="1"/>
  <c r="AF61" i="1" s="1"/>
  <c r="AN86" i="1"/>
  <c r="AM86" i="1" s="1"/>
  <c r="AF50" i="1"/>
  <c r="AM46" i="1"/>
  <c r="AF88" i="1"/>
  <c r="AK85" i="1"/>
  <c r="AR46" i="1"/>
  <c r="AE33" i="1"/>
  <c r="AJ46" i="1"/>
  <c r="AI46" i="1" s="1"/>
  <c r="AH46" i="1" s="1"/>
  <c r="AF46" i="1" s="1"/>
  <c r="AE46" i="1" s="1"/>
  <c r="AD46" i="1" s="1"/>
  <c r="AF52" i="1"/>
  <c r="AF48" i="1"/>
  <c r="AM33" i="1"/>
  <c r="AM34" i="1" s="1"/>
  <c r="AK86" i="1" l="1"/>
  <c r="AF65" i="1"/>
  <c r="AF64" i="1"/>
  <c r="AW59" i="1"/>
  <c r="AP46" i="1"/>
  <c r="AJ85" i="1"/>
  <c r="AI85" i="1" s="1"/>
  <c r="AH85" i="1" s="1"/>
  <c r="AF85" i="1" s="1"/>
  <c r="AE85" i="1" s="1"/>
  <c r="AF90" i="1" s="1"/>
  <c r="AK33" i="1"/>
  <c r="AR47" i="1"/>
  <c r="AD33" i="1"/>
  <c r="AF36" i="1"/>
  <c r="AO46" i="1" l="1"/>
  <c r="AN46" i="1" s="1"/>
  <c r="AF49" i="1" s="1"/>
  <c r="AJ33" i="1"/>
  <c r="AI33" i="1" s="1"/>
  <c r="AH33" i="1" s="1"/>
  <c r="AJ34" i="1"/>
  <c r="AI34" i="1" s="1"/>
  <c r="AH34" i="1" s="1"/>
  <c r="AF34" i="1" s="1"/>
  <c r="AE34" i="1" s="1"/>
  <c r="AD34" i="1" s="1"/>
  <c r="AJ86" i="1"/>
  <c r="AI86" i="1" s="1"/>
  <c r="AH86" i="1" s="1"/>
  <c r="AF86" i="1" s="1"/>
  <c r="AE86" i="1" s="1"/>
  <c r="AD86" i="1" s="1"/>
  <c r="AP47" i="1"/>
  <c r="AO47" i="1" s="1"/>
  <c r="AW85" i="1"/>
  <c r="AK34" i="1"/>
  <c r="AC33" i="1"/>
  <c r="AF40" i="1" s="1"/>
  <c r="AF51" i="1" l="1"/>
  <c r="AN47" i="1"/>
  <c r="AM47" i="1" s="1"/>
  <c r="AK47" i="1" s="1"/>
  <c r="AJ47" i="1" s="1"/>
  <c r="AI47" i="1" s="1"/>
  <c r="AH47" i="1" s="1"/>
  <c r="AF47" i="1" s="1"/>
  <c r="AE47" i="1" s="1"/>
  <c r="AD47" i="1" s="1"/>
  <c r="AW33" i="1"/>
  <c r="AF35" i="1"/>
  <c r="AF39" i="1"/>
  <c r="AF38" i="1"/>
  <c r="AW46" i="1" l="1"/>
</calcChain>
</file>

<file path=xl/sharedStrings.xml><?xml version="1.0" encoding="utf-8"?>
<sst xmlns="http://schemas.openxmlformats.org/spreadsheetml/2006/main" count="422" uniqueCount="85">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</sst>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Border="1"/>
    <xf numFmtId="0" fontId="0" fillId="0" borderId="0" xfId="0" applyFill="1"/>
    <xf numFmtId="0" fontId="0" fillId="0" borderId="1" xfId="0" applyFill="1" applyBorder="1"/>
    <xf numFmtId="0" fontId="1" fillId="0" borderId="1" xfId="0" applyFont="1" applyFill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0" fillId="0" borderId="5" xfId="0" quotePrefix="1" applyBorder="1"/>
    <xf numFmtId="0" fontId="0" fillId="0" borderId="0" xfId="0" quotePrefix="1" applyBorder="1"/>
    <xf numFmtId="0" fontId="0" fillId="0" borderId="0" xfId="0" quotePrefix="1" applyBorder="1" applyAlignment="1">
      <alignment horizontal="right"/>
    </xf>
    <xf numFmtId="0" fontId="5" fillId="0" borderId="0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0" fillId="0" borderId="5" xfId="0" applyBorder="1"/>
    <xf numFmtId="49" fontId="0" fillId="0" borderId="0" xfId="0" quotePrefix="1" applyNumberFormat="1" applyBorder="1" applyAlignment="1">
      <alignment horizontal="center"/>
    </xf>
    <xf numFmtId="0" fontId="3" fillId="0" borderId="0" xfId="0" quotePrefix="1" applyFont="1" applyBorder="1"/>
    <xf numFmtId="0" fontId="0" fillId="0" borderId="0" xfId="0" applyBorder="1" applyAlignment="1">
      <alignment horizontal="right"/>
    </xf>
    <xf numFmtId="0" fontId="7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shrinkToFit="1"/>
    </xf>
    <xf numFmtId="14" fontId="0" fillId="0" borderId="0" xfId="0" applyNumberFormat="1"/>
    <xf numFmtId="0" fontId="8" fillId="0" borderId="1" xfId="0" applyFont="1" applyFill="1" applyBorder="1"/>
  </cellXfs>
  <cellStyles count="1">
    <cellStyle name="Обычный" xfId="0" builtinId="0"/>
  </cellStyles>
  <dxfs count="5">
    <dxf>
      <font>
        <b val="0"/>
        <i/>
      </font>
    </dxf>
    <dxf>
      <fill>
        <patternFill>
          <bgColor theme="9"/>
        </patternFill>
      </fill>
    </dxf>
    <dxf>
      <font>
        <b val="0"/>
        <i/>
      </font>
    </dxf>
    <dxf>
      <fill>
        <patternFill>
          <bgColor theme="9"/>
        </patternFill>
      </fill>
    </dxf>
    <dxf>
      <font>
        <b val="0"/>
        <i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Числа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4207</c:v>
                </c:pt>
                <c:pt idx="1">
                  <c:v>14708</c:v>
                </c:pt>
                <c:pt idx="2">
                  <c:v>18915</c:v>
                </c:pt>
                <c:pt idx="3">
                  <c:v>33623</c:v>
                </c:pt>
                <c:pt idx="4">
                  <c:v>10501</c:v>
                </c:pt>
                <c:pt idx="5">
                  <c:v>31913</c:v>
                </c:pt>
                <c:pt idx="6">
                  <c:v>-4207</c:v>
                </c:pt>
                <c:pt idx="7">
                  <c:v>-14708</c:v>
                </c:pt>
                <c:pt idx="8">
                  <c:v>-18915</c:v>
                </c:pt>
                <c:pt idx="9">
                  <c:v>-33623</c:v>
                </c:pt>
                <c:pt idx="10">
                  <c:v>-10501</c:v>
                </c:pt>
                <c:pt idx="11">
                  <c:v>-31913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D747-AC45-98020F488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6</xdr:row>
      <xdr:rowOff>107950</xdr:rowOff>
    </xdr:from>
    <xdr:to>
      <xdr:col>12</xdr:col>
      <xdr:colOff>400050</xdr:colOff>
      <xdr:row>20</xdr:row>
      <xdr:rowOff>6350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281098D-BE50-D044-A962-07A793683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zoomScale="75" zoomScaleNormal="75" workbookViewId="0">
      <selection activeCell="BE82" sqref="BE82:BI85"/>
    </sheetView>
  </sheetViews>
  <sheetFormatPr baseColWidth="10" defaultRowHeight="16" x14ac:dyDescent="0.2"/>
  <cols>
    <col min="1" max="1" width="6.1640625" customWidth="1"/>
    <col min="2" max="2" width="10.1640625" customWidth="1"/>
    <col min="5" max="5" width="5.5" customWidth="1"/>
    <col min="6" max="6" width="4.83203125" customWidth="1"/>
    <col min="7" max="10" width="3.83203125" customWidth="1"/>
    <col min="11" max="11" width="1.33203125" customWidth="1"/>
    <col min="12" max="15" width="3.83203125" customWidth="1"/>
    <col min="16" max="16" width="1.33203125" customWidth="1"/>
    <col min="17" max="20" width="3.83203125" customWidth="1"/>
    <col min="21" max="21" width="1.33203125" customWidth="1"/>
    <col min="22" max="25" width="3.83203125" customWidth="1"/>
    <col min="27" max="27" width="2.1640625" customWidth="1"/>
    <col min="28" max="28" width="5.1640625" customWidth="1"/>
    <col min="29" max="32" width="3.83203125" customWidth="1"/>
    <col min="33" max="33" width="1.33203125" customWidth="1"/>
    <col min="34" max="37" width="3.83203125" customWidth="1"/>
    <col min="38" max="38" width="1.33203125" customWidth="1"/>
    <col min="39" max="42" width="3.83203125" customWidth="1"/>
    <col min="43" max="43" width="1.33203125" customWidth="1"/>
    <col min="44" max="47" width="3.83203125" customWidth="1"/>
    <col min="48" max="48" width="4.5" customWidth="1"/>
    <col min="51" max="51" width="2.5" customWidth="1"/>
    <col min="52" max="52" width="6.33203125" customWidth="1"/>
    <col min="53" max="53" width="4.6640625" customWidth="1"/>
    <col min="54" max="54" width="9.5" customWidth="1"/>
    <col min="55" max="55" width="3" customWidth="1"/>
  </cols>
  <sheetData>
    <row r="1" spans="1:61" x14ac:dyDescent="0.2">
      <c r="A1" t="s">
        <v>0</v>
      </c>
      <c r="B1" s="1" t="s">
        <v>1</v>
      </c>
      <c r="C1">
        <v>4207</v>
      </c>
      <c r="AZ1" s="1"/>
    </row>
    <row r="2" spans="1:61" x14ac:dyDescent="0.2">
      <c r="B2" s="1" t="s">
        <v>2</v>
      </c>
      <c r="C2">
        <v>14708</v>
      </c>
      <c r="AZ2" s="1"/>
    </row>
    <row r="3" spans="1:61" ht="17" thickBot="1" x14ac:dyDescent="0.25">
      <c r="A3" s="1"/>
      <c r="B3" s="1"/>
      <c r="AZ3" s="1"/>
    </row>
    <row r="4" spans="1:61" ht="18" customHeight="1" x14ac:dyDescent="0.25">
      <c r="A4" s="1" t="s">
        <v>3</v>
      </c>
      <c r="B4" s="1" t="s">
        <v>1</v>
      </c>
      <c r="C4">
        <f>$C1</f>
        <v>4207</v>
      </c>
      <c r="E4" s="1" t="s">
        <v>25</v>
      </c>
      <c r="G4" s="30">
        <f>MOD(QUOTIENT(C4,2^15),2)</f>
        <v>0</v>
      </c>
      <c r="H4" s="30">
        <f>MOD(QUOTIENT(C4,2^14),2)</f>
        <v>0</v>
      </c>
      <c r="I4" s="30">
        <f>MOD(QUOTIENT(C4,2^13),2)</f>
        <v>0</v>
      </c>
      <c r="J4" s="30">
        <f>MOD(QUOTIENT(C4,2^12),2)</f>
        <v>1</v>
      </c>
      <c r="K4" s="6" t="s">
        <v>37</v>
      </c>
      <c r="L4" s="30">
        <f>MOD(QUOTIENT(C4,2^11),2)</f>
        <v>0</v>
      </c>
      <c r="M4" s="30">
        <f>MOD(QUOTIENT(C4,2^10),2)</f>
        <v>0</v>
      </c>
      <c r="N4" s="30">
        <f>MOD(QUOTIENT(C4,2^9),2)</f>
        <v>0</v>
      </c>
      <c r="O4" s="30">
        <f>MOD(QUOTIENT(C4,2^8),2)</f>
        <v>0</v>
      </c>
      <c r="P4" s="6" t="s">
        <v>37</v>
      </c>
      <c r="Q4" s="30">
        <f>MOD(QUOTIENT(C4,2^7),2)</f>
        <v>0</v>
      </c>
      <c r="R4" s="30">
        <f>MOD(QUOTIENT(C4,2^6),2)</f>
        <v>1</v>
      </c>
      <c r="S4" s="30">
        <f>MOD(QUOTIENT(C4,2^5),2)</f>
        <v>1</v>
      </c>
      <c r="T4" s="30">
        <f>MOD(QUOTIENT(C4,2^4),2)</f>
        <v>0</v>
      </c>
      <c r="U4" s="6" t="s">
        <v>37</v>
      </c>
      <c r="V4" s="30">
        <f>MOD(QUOTIENT(C4,2^3),2)</f>
        <v>1</v>
      </c>
      <c r="W4" s="30">
        <f>MOD(QUOTIENT(C4,2^2),2)</f>
        <v>1</v>
      </c>
      <c r="X4" s="30">
        <f>MOD(QUOTIENT(C4,2),2)</f>
        <v>1</v>
      </c>
      <c r="Y4" s="30">
        <f>MOD(C4,2)</f>
        <v>1</v>
      </c>
      <c r="AA4" s="7"/>
      <c r="AB4" s="8" t="s">
        <v>44</v>
      </c>
      <c r="AC4" s="9">
        <f>G4</f>
        <v>0</v>
      </c>
      <c r="AD4" s="9">
        <f>H4</f>
        <v>0</v>
      </c>
      <c r="AE4" s="9">
        <f t="shared" ref="AE4:AU4" si="0">I4</f>
        <v>0</v>
      </c>
      <c r="AF4" s="9">
        <f t="shared" si="0"/>
        <v>1</v>
      </c>
      <c r="AG4" s="9" t="str">
        <f t="shared" si="0"/>
        <v>.</v>
      </c>
      <c r="AH4" s="9">
        <f t="shared" si="0"/>
        <v>0</v>
      </c>
      <c r="AI4" s="9">
        <f t="shared" si="0"/>
        <v>0</v>
      </c>
      <c r="AJ4" s="9">
        <f t="shared" si="0"/>
        <v>0</v>
      </c>
      <c r="AK4" s="9">
        <f>O4</f>
        <v>0</v>
      </c>
      <c r="AL4" s="9" t="str">
        <f t="shared" si="0"/>
        <v>.</v>
      </c>
      <c r="AM4" s="9">
        <f t="shared" si="0"/>
        <v>0</v>
      </c>
      <c r="AN4" s="9">
        <f t="shared" si="0"/>
        <v>1</v>
      </c>
      <c r="AO4" s="9">
        <f t="shared" si="0"/>
        <v>1</v>
      </c>
      <c r="AP4" s="9">
        <f t="shared" si="0"/>
        <v>0</v>
      </c>
      <c r="AQ4" s="9" t="str">
        <f t="shared" si="0"/>
        <v>.</v>
      </c>
      <c r="AR4" s="9">
        <f t="shared" si="0"/>
        <v>1</v>
      </c>
      <c r="AS4" s="9">
        <f t="shared" si="0"/>
        <v>1</v>
      </c>
      <c r="AT4" s="9">
        <f t="shared" si="0"/>
        <v>1</v>
      </c>
      <c r="AU4" s="9">
        <f t="shared" si="0"/>
        <v>1</v>
      </c>
      <c r="AV4" s="9"/>
      <c r="AW4" s="9"/>
      <c r="AX4" s="9"/>
      <c r="AY4" s="9"/>
      <c r="AZ4" s="10" t="s">
        <v>53</v>
      </c>
      <c r="BA4" s="9"/>
      <c r="BB4" s="9">
        <f>C4</f>
        <v>4207</v>
      </c>
      <c r="BC4" s="9"/>
      <c r="BD4" s="9"/>
      <c r="BE4" s="11" t="s">
        <v>62</v>
      </c>
      <c r="BF4" s="11"/>
      <c r="BG4" s="11"/>
      <c r="BH4" s="11"/>
      <c r="BI4" s="12"/>
    </row>
    <row r="5" spans="1:61" ht="18" x14ac:dyDescent="0.25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30">
        <f t="shared" ref="G5:G9" si="1">MOD(QUOTIENT(C5,2^15),2)</f>
        <v>0</v>
      </c>
      <c r="H5" s="30">
        <f t="shared" ref="H5:H9" si="2">MOD(QUOTIENT(C5,2^14),2)</f>
        <v>0</v>
      </c>
      <c r="I5" s="30">
        <f t="shared" ref="I5:I9" si="3">MOD(QUOTIENT(C5,2^13),2)</f>
        <v>1</v>
      </c>
      <c r="J5" s="30">
        <f t="shared" ref="J5:J9" si="4">MOD(QUOTIENT(C5,2^12),2)</f>
        <v>1</v>
      </c>
      <c r="K5" s="6" t="s">
        <v>37</v>
      </c>
      <c r="L5" s="30">
        <f t="shared" ref="L5:L9" si="5">MOD(QUOTIENT(C5,2^11),2)</f>
        <v>1</v>
      </c>
      <c r="M5" s="30">
        <f t="shared" ref="M5:M9" si="6">MOD(QUOTIENT(C5,2^10),2)</f>
        <v>0</v>
      </c>
      <c r="N5" s="30">
        <f t="shared" ref="N5:N9" si="7">MOD(QUOTIENT(C5,2^9),2)</f>
        <v>0</v>
      </c>
      <c r="O5" s="30">
        <f t="shared" ref="O5:O9" si="8">MOD(QUOTIENT(C5,2^8),2)</f>
        <v>1</v>
      </c>
      <c r="P5" s="6" t="s">
        <v>37</v>
      </c>
      <c r="Q5" s="30">
        <f t="shared" ref="Q5:Q9" si="9">MOD(QUOTIENT(C5,2^7),2)</f>
        <v>0</v>
      </c>
      <c r="R5" s="30">
        <f t="shared" ref="R5:R9" si="10">MOD(QUOTIENT(C5,2^6),2)</f>
        <v>1</v>
      </c>
      <c r="S5" s="30">
        <f t="shared" ref="S5:S9" si="11">MOD(QUOTIENT(C5,2^5),2)</f>
        <v>1</v>
      </c>
      <c r="T5" s="30">
        <f t="shared" ref="T5:T9" si="12">MOD(QUOTIENT(C5,2^4),2)</f>
        <v>1</v>
      </c>
      <c r="U5" s="6" t="s">
        <v>37</v>
      </c>
      <c r="V5" s="30">
        <f t="shared" ref="V5:V9" si="13">MOD(QUOTIENT(C5,2^3),2)</f>
        <v>0</v>
      </c>
      <c r="W5" s="30">
        <f t="shared" ref="W5:W9" si="14">MOD(QUOTIENT(C5,2^2),2)</f>
        <v>1</v>
      </c>
      <c r="X5" s="30">
        <f t="shared" ref="X5:X9" si="15">MOD(QUOTIENT(C5,2),2)</f>
        <v>0</v>
      </c>
      <c r="Y5" s="30">
        <f t="shared" ref="Y5:Y9" si="16">MOD(C5,2)</f>
        <v>0</v>
      </c>
      <c r="AA5" s="13" t="s">
        <v>46</v>
      </c>
      <c r="AB5" s="14" t="s">
        <v>45</v>
      </c>
      <c r="AC5" s="3">
        <f>G5</f>
        <v>0</v>
      </c>
      <c r="AD5" s="3">
        <f>H5</f>
        <v>0</v>
      </c>
      <c r="AE5" s="3">
        <f t="shared" ref="AE5" si="17">I5</f>
        <v>1</v>
      </c>
      <c r="AF5" s="3">
        <f t="shared" ref="AF5" si="18">J5</f>
        <v>1</v>
      </c>
      <c r="AG5" s="3" t="str">
        <f t="shared" ref="AG5" si="19">K5</f>
        <v>.</v>
      </c>
      <c r="AH5" s="3">
        <f t="shared" ref="AH5" si="20">L5</f>
        <v>1</v>
      </c>
      <c r="AI5" s="3">
        <f t="shared" ref="AI5" si="21">M5</f>
        <v>0</v>
      </c>
      <c r="AJ5" s="3">
        <f t="shared" ref="AJ5" si="22">N5</f>
        <v>0</v>
      </c>
      <c r="AK5" s="3">
        <f t="shared" ref="AK5" si="23">O5</f>
        <v>1</v>
      </c>
      <c r="AL5" s="3" t="str">
        <f t="shared" ref="AL5" si="24">P5</f>
        <v>.</v>
      </c>
      <c r="AM5" s="3">
        <f t="shared" ref="AM5" si="25">Q5</f>
        <v>0</v>
      </c>
      <c r="AN5" s="3">
        <f t="shared" ref="AN5" si="26">R5</f>
        <v>1</v>
      </c>
      <c r="AO5" s="3">
        <f t="shared" ref="AO5" si="27">S5</f>
        <v>1</v>
      </c>
      <c r="AP5" s="3">
        <f t="shared" ref="AP5" si="28">T5</f>
        <v>1</v>
      </c>
      <c r="AQ5" s="3" t="str">
        <f t="shared" ref="AQ5" si="29">U5</f>
        <v>.</v>
      </c>
      <c r="AR5" s="3">
        <f t="shared" ref="AR5" si="30">V5</f>
        <v>0</v>
      </c>
      <c r="AS5" s="3">
        <f t="shared" ref="AS5" si="31">W5</f>
        <v>1</v>
      </c>
      <c r="AT5" s="3">
        <f t="shared" ref="AT5" si="32">X5</f>
        <v>0</v>
      </c>
      <c r="AU5" s="3">
        <f t="shared" ref="AU5" si="33">Y5</f>
        <v>0</v>
      </c>
      <c r="AV5" s="3"/>
      <c r="AW5" s="3"/>
      <c r="AX5" s="3"/>
      <c r="AY5" s="14" t="s">
        <v>46</v>
      </c>
      <c r="AZ5" s="15" t="s">
        <v>52</v>
      </c>
      <c r="BA5" s="3"/>
      <c r="BB5" s="3">
        <f>C5</f>
        <v>14708</v>
      </c>
      <c r="BC5" s="3"/>
      <c r="BD5" s="3"/>
      <c r="BE5" s="16"/>
      <c r="BF5" s="16"/>
      <c r="BG5" s="16"/>
      <c r="BH5" s="16"/>
      <c r="BI5" s="17"/>
    </row>
    <row r="6" spans="1:61" x14ac:dyDescent="0.2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30">
        <f t="shared" si="1"/>
        <v>0</v>
      </c>
      <c r="H6" s="30">
        <f t="shared" si="2"/>
        <v>1</v>
      </c>
      <c r="I6" s="30">
        <f t="shared" si="3"/>
        <v>0</v>
      </c>
      <c r="J6" s="30">
        <f t="shared" si="4"/>
        <v>0</v>
      </c>
      <c r="K6" s="6" t="s">
        <v>37</v>
      </c>
      <c r="L6" s="30">
        <f t="shared" si="5"/>
        <v>1</v>
      </c>
      <c r="M6" s="30">
        <f t="shared" si="6"/>
        <v>0</v>
      </c>
      <c r="N6" s="30">
        <f t="shared" si="7"/>
        <v>0</v>
      </c>
      <c r="O6" s="30">
        <f t="shared" si="8"/>
        <v>1</v>
      </c>
      <c r="P6" s="6" t="s">
        <v>37</v>
      </c>
      <c r="Q6" s="30">
        <f t="shared" si="9"/>
        <v>1</v>
      </c>
      <c r="R6" s="30">
        <f t="shared" si="10"/>
        <v>1</v>
      </c>
      <c r="S6" s="30">
        <f t="shared" si="11"/>
        <v>1</v>
      </c>
      <c r="T6" s="30">
        <f t="shared" si="12"/>
        <v>0</v>
      </c>
      <c r="U6" s="6" t="s">
        <v>37</v>
      </c>
      <c r="V6" s="30">
        <f t="shared" si="13"/>
        <v>0</v>
      </c>
      <c r="W6" s="30">
        <f t="shared" si="14"/>
        <v>0</v>
      </c>
      <c r="X6" s="30">
        <f t="shared" si="15"/>
        <v>1</v>
      </c>
      <c r="Y6" s="30">
        <f t="shared" si="16"/>
        <v>1</v>
      </c>
      <c r="AA6" s="18"/>
      <c r="AB6" s="19" t="s">
        <v>49</v>
      </c>
      <c r="AC6" s="19" t="s">
        <v>48</v>
      </c>
      <c r="AD6" s="19" t="s">
        <v>48</v>
      </c>
      <c r="AE6" s="19" t="s">
        <v>48</v>
      </c>
      <c r="AF6" s="19" t="s">
        <v>48</v>
      </c>
      <c r="AG6" s="19" t="s">
        <v>48</v>
      </c>
      <c r="AH6" s="19" t="s">
        <v>48</v>
      </c>
      <c r="AI6" s="19" t="s">
        <v>48</v>
      </c>
      <c r="AJ6" s="19" t="s">
        <v>48</v>
      </c>
      <c r="AK6" s="19" t="s">
        <v>48</v>
      </c>
      <c r="AL6" s="19" t="s">
        <v>48</v>
      </c>
      <c r="AM6" s="19" t="s">
        <v>48</v>
      </c>
      <c r="AN6" s="19" t="s">
        <v>48</v>
      </c>
      <c r="AO6" s="19" t="s">
        <v>48</v>
      </c>
      <c r="AP6" s="19" t="s">
        <v>48</v>
      </c>
      <c r="AQ6" s="19" t="s">
        <v>48</v>
      </c>
      <c r="AR6" s="19" t="s">
        <v>48</v>
      </c>
      <c r="AS6" s="19" t="s">
        <v>48</v>
      </c>
      <c r="AT6" s="19" t="s">
        <v>48</v>
      </c>
      <c r="AU6" s="19" t="s">
        <v>48</v>
      </c>
      <c r="AV6" s="3"/>
      <c r="AW6" s="3"/>
      <c r="AX6" s="3"/>
      <c r="AY6" s="14" t="s">
        <v>54</v>
      </c>
      <c r="AZ6" s="15" t="s">
        <v>47</v>
      </c>
      <c r="BA6" s="14" t="s">
        <v>48</v>
      </c>
      <c r="BB6" s="14" t="s">
        <v>55</v>
      </c>
      <c r="BC6" s="3"/>
      <c r="BD6" s="3"/>
      <c r="BE6" s="16"/>
      <c r="BF6" s="16"/>
      <c r="BG6" s="16"/>
      <c r="BH6" s="16"/>
      <c r="BI6" s="17"/>
    </row>
    <row r="7" spans="1:61" ht="18" x14ac:dyDescent="0.25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30">
        <f t="shared" si="1"/>
        <v>1</v>
      </c>
      <c r="H7" s="30">
        <f t="shared" si="2"/>
        <v>0</v>
      </c>
      <c r="I7" s="30">
        <f t="shared" si="3"/>
        <v>0</v>
      </c>
      <c r="J7" s="30">
        <f t="shared" si="4"/>
        <v>0</v>
      </c>
      <c r="K7" s="6" t="s">
        <v>37</v>
      </c>
      <c r="L7" s="30">
        <f t="shared" si="5"/>
        <v>0</v>
      </c>
      <c r="M7" s="30">
        <f t="shared" si="6"/>
        <v>0</v>
      </c>
      <c r="N7" s="30">
        <f t="shared" si="7"/>
        <v>1</v>
      </c>
      <c r="O7" s="30">
        <f t="shared" si="8"/>
        <v>1</v>
      </c>
      <c r="P7" s="6" t="s">
        <v>37</v>
      </c>
      <c r="Q7" s="30">
        <f t="shared" si="9"/>
        <v>0</v>
      </c>
      <c r="R7" s="30">
        <f t="shared" si="10"/>
        <v>1</v>
      </c>
      <c r="S7" s="30">
        <f t="shared" si="11"/>
        <v>0</v>
      </c>
      <c r="T7" s="30">
        <f t="shared" si="12"/>
        <v>1</v>
      </c>
      <c r="U7" s="6" t="s">
        <v>37</v>
      </c>
      <c r="V7" s="30">
        <f t="shared" si="13"/>
        <v>0</v>
      </c>
      <c r="W7" s="30">
        <f t="shared" si="14"/>
        <v>1</v>
      </c>
      <c r="X7" s="30">
        <f t="shared" si="15"/>
        <v>1</v>
      </c>
      <c r="Y7" s="30">
        <f t="shared" si="16"/>
        <v>1</v>
      </c>
      <c r="AA7" s="18"/>
      <c r="AB7" s="15" t="s">
        <v>54</v>
      </c>
      <c r="AC7" s="3">
        <f t="shared" ref="AC7:AS7" si="34">IF(NOT(AD4=AD5),IF(AD7=1,MOD(AC4+AC5,2),MOD(AC4+AC5+1,2)),IF(AD4=1,MOD(AC4+AC5+1,2),MOD(AC4+AC5,2)))</f>
        <v>0</v>
      </c>
      <c r="AD7" s="3">
        <f t="shared" si="34"/>
        <v>1</v>
      </c>
      <c r="AE7" s="3">
        <f t="shared" si="34"/>
        <v>0</v>
      </c>
      <c r="AF7" s="3">
        <f>IF(NOT(AH4=AH5),IF(AH7=1,MOD(AF4+AF5,2),MOD(AF4+AF5+1,2)),IF(AH4=1,MOD(AF4+AF5+1,2),MOD(AF4+AF5,2)))</f>
        <v>0</v>
      </c>
      <c r="AG7" s="3" t="s">
        <v>37</v>
      </c>
      <c r="AH7" s="3">
        <f t="shared" si="34"/>
        <v>1</v>
      </c>
      <c r="AI7" s="3">
        <f t="shared" si="34"/>
        <v>0</v>
      </c>
      <c r="AJ7" s="3">
        <f t="shared" si="34"/>
        <v>0</v>
      </c>
      <c r="AK7" s="3">
        <f>IF(NOT(AM4=AM5),IF(AM7=1,MOD(AK4+AK5,2),MOD(AK4+AK5+1,2)),IF(AM4=1,MOD(AK4+AK5+1,2),MOD(AK4+AK5,2)))</f>
        <v>1</v>
      </c>
      <c r="AL7" s="3" t="s">
        <v>37</v>
      </c>
      <c r="AM7" s="3">
        <f t="shared" si="34"/>
        <v>1</v>
      </c>
      <c r="AN7" s="3">
        <f t="shared" si="34"/>
        <v>1</v>
      </c>
      <c r="AO7" s="3">
        <f t="shared" si="34"/>
        <v>1</v>
      </c>
      <c r="AP7" s="3">
        <f>IF(NOT(AR4=AR5),IF(AR7=1,MOD(AP4+AP5,2),MOD(AP4+AP5+1,2)),IF(AR4=1,MOD(AP4+AP5+1,2),MOD(AP4+AP5,2)))</f>
        <v>0</v>
      </c>
      <c r="AQ7" s="3" t="s">
        <v>37</v>
      </c>
      <c r="AR7" s="3">
        <f t="shared" si="34"/>
        <v>0</v>
      </c>
      <c r="AS7" s="3">
        <f t="shared" si="34"/>
        <v>0</v>
      </c>
      <c r="AT7" s="3">
        <f>IF(NOT(AU4=AU5),IF(AU7=1,MOD(AT4+AT5,2),MOD(AT4+AT5+1,2)),IF(AU4=1,MOD(AT4+AT5+1,2),MOD(AT4+AT5,2)))</f>
        <v>1</v>
      </c>
      <c r="AU7" s="3">
        <f>MOD(AU4+AU5,2)</f>
        <v>1</v>
      </c>
      <c r="AV7" s="20" t="s">
        <v>50</v>
      </c>
      <c r="AW7" s="3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20" t="s">
        <v>51</v>
      </c>
      <c r="AY7" s="3"/>
      <c r="AZ7" s="21"/>
      <c r="BA7" s="3"/>
      <c r="BB7" s="3">
        <f>BB4+BB5</f>
        <v>18915</v>
      </c>
      <c r="BC7" s="20" t="s">
        <v>51</v>
      </c>
      <c r="BD7" s="3"/>
      <c r="BE7" s="16"/>
      <c r="BF7" s="16"/>
      <c r="BG7" s="16"/>
      <c r="BH7" s="16"/>
      <c r="BI7" s="17"/>
    </row>
    <row r="8" spans="1:61" x14ac:dyDescent="0.2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30">
        <f t="shared" si="1"/>
        <v>0</v>
      </c>
      <c r="H8" s="30">
        <f t="shared" si="2"/>
        <v>0</v>
      </c>
      <c r="I8" s="30">
        <f t="shared" si="3"/>
        <v>1</v>
      </c>
      <c r="J8" s="30">
        <f t="shared" si="4"/>
        <v>0</v>
      </c>
      <c r="K8" s="6" t="s">
        <v>37</v>
      </c>
      <c r="L8" s="30">
        <f t="shared" si="5"/>
        <v>1</v>
      </c>
      <c r="M8" s="30">
        <f t="shared" si="6"/>
        <v>0</v>
      </c>
      <c r="N8" s="30">
        <f t="shared" si="7"/>
        <v>0</v>
      </c>
      <c r="O8" s="30">
        <f t="shared" si="8"/>
        <v>1</v>
      </c>
      <c r="P8" s="6" t="s">
        <v>37</v>
      </c>
      <c r="Q8" s="30">
        <f t="shared" si="9"/>
        <v>0</v>
      </c>
      <c r="R8" s="30">
        <f t="shared" si="10"/>
        <v>0</v>
      </c>
      <c r="S8" s="30">
        <f t="shared" si="11"/>
        <v>0</v>
      </c>
      <c r="T8" s="30">
        <f t="shared" si="12"/>
        <v>0</v>
      </c>
      <c r="U8" s="6" t="s">
        <v>37</v>
      </c>
      <c r="V8" s="30">
        <f t="shared" si="13"/>
        <v>0</v>
      </c>
      <c r="W8" s="30">
        <f t="shared" si="14"/>
        <v>1</v>
      </c>
      <c r="X8" s="30">
        <f t="shared" si="15"/>
        <v>0</v>
      </c>
      <c r="Y8" s="30">
        <f t="shared" si="16"/>
        <v>1</v>
      </c>
      <c r="AA8" s="18"/>
      <c r="AB8" s="22" t="s">
        <v>72</v>
      </c>
      <c r="AC8" s="23"/>
      <c r="AD8" s="3">
        <f t="shared" ref="AD8" si="35">IF(NOT(NOT(AE7)*1=0),IF(AE8=1,MOD(NOT(AD7),2),MOD(NOT(AD7)+1,2)),IF(NOT(AE7)*1=1,MOD(NOT(AD7)+1,2),MOD(NOT(AD7),2)))</f>
        <v>0</v>
      </c>
      <c r="AE8" s="3">
        <f t="shared" ref="AE8" si="36">IF(NOT(NOT(AF7)*1=0),IF(AF8=1,MOD(NOT(AE7),2),MOD(NOT(AE7)+1,2)),IF(NOT(AF7)*1=1,MOD(NOT(AE7)+1,2),MOD(NOT(AE7),2)))</f>
        <v>1</v>
      </c>
      <c r="AF8" s="3">
        <f>IF(NOT(NOT(AH7)*1=0),IF(AH8=1,MOD(NOT(AF7),2),MOD(NOT(AF7)+1,2)),IF(NOT(AH7)*1=1,MOD(NOT(AF7)+1,2),MOD(NOT(AF7),2)))</f>
        <v>1</v>
      </c>
      <c r="AG8" s="3" t="s">
        <v>37</v>
      </c>
      <c r="AH8" s="3">
        <f t="shared" ref="AH8" si="37">IF(NOT(NOT(AI7)*1=0),IF(AI8=1,MOD(NOT(AH7),2),MOD(NOT(AH7)+1,2)),IF(NOT(AI7)*1=1,MOD(NOT(AH7)+1,2),MOD(NOT(AH7),2)))</f>
        <v>0</v>
      </c>
      <c r="AI8" s="3">
        <f t="shared" ref="AI8" si="38">IF(NOT(NOT(AJ7)*1=0),IF(AJ8=1,MOD(NOT(AI7),2),MOD(NOT(AI7)+1,2)),IF(NOT(AJ7)*1=1,MOD(NOT(AI7)+1,2),MOD(NOT(AI7),2)))</f>
        <v>1</v>
      </c>
      <c r="AJ8" s="3">
        <f t="shared" ref="AJ8" si="39">IF(NOT(NOT(AK7)*1=0),IF(AK8=1,MOD(NOT(AJ7),2),MOD(NOT(AJ7)+1,2)),IF(NOT(AK7)*1=1,MOD(NOT(AJ7)+1,2),MOD(NOT(AJ7),2)))</f>
        <v>1</v>
      </c>
      <c r="AK8" s="3">
        <f>IF(NOT(NOT(AM7)*1=0),IF(AM8=1,MOD(NOT(AK7),2),MOD(NOT(AK7)+1,2)),IF(NOT(AM7)*1=1,MOD(NOT(AK7)+1,2),MOD(NOT(AK7),2)))</f>
        <v>0</v>
      </c>
      <c r="AL8" s="3" t="s">
        <v>37</v>
      </c>
      <c r="AM8" s="3">
        <f t="shared" ref="AM8" si="40">IF(NOT(NOT(AN7)*1=0),IF(AN8=1,MOD(NOT(AM7),2),MOD(NOT(AM7)+1,2)),IF(NOT(AN7)*1=1,MOD(NOT(AM7)+1,2),MOD(NOT(AM7),2)))</f>
        <v>0</v>
      </c>
      <c r="AN8" s="3">
        <f t="shared" ref="AN8" si="41">IF(NOT(NOT(AO7)*1=0),IF(AO8=1,MOD(NOT(AN7),2),MOD(NOT(AN7)+1,2)),IF(NOT(AO7)*1=1,MOD(NOT(AN7)+1,2),MOD(NOT(AN7),2)))</f>
        <v>0</v>
      </c>
      <c r="AO8" s="3">
        <f t="shared" ref="AO8" si="42">IF(NOT(NOT(AP7)*1=0),IF(AP8=1,MOD(NOT(AO7),2),MOD(NOT(AO7)+1,2)),IF(NOT(AP7)*1=1,MOD(NOT(AO7)+1,2),MOD(NOT(AO7),2)))</f>
        <v>0</v>
      </c>
      <c r="AP8" s="3">
        <f>IF(NOT(NOT(AR7)*1=0),IF(AR8=1,MOD(NOT(AP7),2),MOD(NOT(AP7)+1,2)),IF(NOT(AR7)*1=1,MOD(NOT(AP7)+1,2),MOD(NOT(AP7),2)))</f>
        <v>1</v>
      </c>
      <c r="AQ8" s="3" t="s">
        <v>37</v>
      </c>
      <c r="AR8" s="3">
        <f t="shared" ref="AR8" si="43">IF(NOT(NOT(AS7)*1=0),IF(AS8=1,MOD(NOT(AR7),2),MOD(NOT(AR7)+1,2)),IF(NOT(AS7)*1=1,MOD(NOT(AR7)+1,2),MOD(NOT(AR7),2)))</f>
        <v>1</v>
      </c>
      <c r="AS8" s="3">
        <f t="shared" ref="AS8" si="44">IF(NOT(NOT(AT7)*1=0),IF(AT8=1,MOD(NOT(AS7),2),MOD(NOT(AS7)+1,2)),IF(NOT(AT7)*1=1,MOD(NOT(AS7)+1,2),MOD(NOT(AS7),2)))</f>
        <v>1</v>
      </c>
      <c r="AT8" s="3">
        <f>IF(NOT(NOT(AU7)*1=0),IF(AU8=1,MOD(NOT(AT7),2),MOD(NOT(AT7)+1,2)),IF(NOT(AU7)*1=1,MOD(NOT(AT7)+1,2),MOD(NOT(AT7),2)))</f>
        <v>0</v>
      </c>
      <c r="AU8" s="3">
        <f>MOD(NOT(AU7)+1,2)</f>
        <v>1</v>
      </c>
      <c r="AV8" s="3"/>
      <c r="AW8" s="3"/>
      <c r="AX8" s="3"/>
      <c r="AY8" s="3"/>
      <c r="AZ8" s="21"/>
      <c r="BA8" s="3"/>
      <c r="BB8" s="3"/>
      <c r="BC8" s="3"/>
      <c r="BD8" s="3"/>
      <c r="BE8" s="3"/>
      <c r="BF8" s="3"/>
      <c r="BG8" s="3"/>
      <c r="BH8" s="3"/>
      <c r="BI8" s="24"/>
    </row>
    <row r="9" spans="1:61" x14ac:dyDescent="0.2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5">
        <f t="shared" si="1"/>
        <v>0</v>
      </c>
      <c r="H9" s="5">
        <f t="shared" si="2"/>
        <v>1</v>
      </c>
      <c r="I9" s="5">
        <f t="shared" si="3"/>
        <v>1</v>
      </c>
      <c r="J9" s="5">
        <f t="shared" si="4"/>
        <v>1</v>
      </c>
      <c r="K9" s="6" t="s">
        <v>37</v>
      </c>
      <c r="L9" s="5">
        <f t="shared" si="5"/>
        <v>1</v>
      </c>
      <c r="M9" s="5">
        <f t="shared" si="6"/>
        <v>1</v>
      </c>
      <c r="N9" s="5">
        <f t="shared" si="7"/>
        <v>0</v>
      </c>
      <c r="O9" s="5">
        <f t="shared" si="8"/>
        <v>0</v>
      </c>
      <c r="P9" s="6" t="s">
        <v>37</v>
      </c>
      <c r="Q9" s="5">
        <f t="shared" si="9"/>
        <v>1</v>
      </c>
      <c r="R9" s="5">
        <f t="shared" si="10"/>
        <v>0</v>
      </c>
      <c r="S9" s="5">
        <f t="shared" si="11"/>
        <v>1</v>
      </c>
      <c r="T9" s="5">
        <f t="shared" si="12"/>
        <v>0</v>
      </c>
      <c r="U9" s="6" t="s">
        <v>37</v>
      </c>
      <c r="V9" s="5">
        <f t="shared" ref="V9" si="45">MOD(QUOTIENT(C9,2^3),2)</f>
        <v>1</v>
      </c>
      <c r="W9" s="5">
        <f t="shared" ref="W9" si="46">MOD(QUOTIENT(C9,2^2),2)</f>
        <v>0</v>
      </c>
      <c r="X9" s="5">
        <f t="shared" ref="X9" si="47">MOD(QUOTIENT(C9,2),2)</f>
        <v>0</v>
      </c>
      <c r="Y9" s="5">
        <f t="shared" ref="Y9" si="48">MOD(C9,2)</f>
        <v>1</v>
      </c>
      <c r="AA9" s="18"/>
      <c r="AB9" s="3"/>
      <c r="AC9" s="3"/>
      <c r="AD9" s="3"/>
      <c r="AE9" s="3" t="s">
        <v>56</v>
      </c>
      <c r="AF9" s="3">
        <f>IF(NOT(AC4=AC5),IF(AC7=1,0,1),IF(AC4=1,1,0))</f>
        <v>0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21"/>
      <c r="BA9" s="3"/>
      <c r="BB9" s="3"/>
      <c r="BC9" s="3"/>
      <c r="BD9" s="3"/>
      <c r="BE9" s="3"/>
      <c r="BF9" s="3"/>
      <c r="BG9" s="3"/>
      <c r="BH9" s="3"/>
      <c r="BI9" s="24"/>
    </row>
    <row r="10" spans="1:61" x14ac:dyDescent="0.2">
      <c r="A10" s="1" t="s">
        <v>9</v>
      </c>
      <c r="B10" s="2" t="s">
        <v>20</v>
      </c>
      <c r="C10">
        <f>-C4</f>
        <v>-4207</v>
      </c>
      <c r="E10" s="1" t="s">
        <v>31</v>
      </c>
      <c r="F10" s="2" t="s">
        <v>38</v>
      </c>
      <c r="G10" s="5">
        <f t="shared" ref="G10:I11" si="49">IF(AND((H4 =H10),(H10=0)),MOD(IF(G4=0,1,0)+1,2),IF(G4=0,1,0))</f>
        <v>1</v>
      </c>
      <c r="H10" s="5">
        <f t="shared" si="49"/>
        <v>1</v>
      </c>
      <c r="I10" s="5">
        <f t="shared" si="49"/>
        <v>1</v>
      </c>
      <c r="J10" s="5">
        <f t="shared" ref="J10:N11" si="50">IF(AND((K4 =K10),(K10=0)),MOD(IF(J4=0,1,0)+1,2),IF(J4=0,1,0))</f>
        <v>0</v>
      </c>
      <c r="K10" s="6" t="s">
        <v>37</v>
      </c>
      <c r="L10" s="5">
        <f t="shared" si="50"/>
        <v>1</v>
      </c>
      <c r="M10" s="5">
        <f t="shared" si="50"/>
        <v>1</v>
      </c>
      <c r="N10" s="5">
        <f t="shared" si="50"/>
        <v>1</v>
      </c>
      <c r="O10" s="5">
        <f t="shared" ref="O10:S11" si="51">IF(AND((P4 =P10),(P10=0)),MOD(IF(O4=0,1,0)+1,2),IF(O4=0,1,0))</f>
        <v>1</v>
      </c>
      <c r="P10" s="6" t="s">
        <v>37</v>
      </c>
      <c r="Q10" s="5">
        <f t="shared" si="51"/>
        <v>1</v>
      </c>
      <c r="R10" s="5">
        <f t="shared" si="51"/>
        <v>0</v>
      </c>
      <c r="S10" s="5">
        <f t="shared" si="51"/>
        <v>0</v>
      </c>
      <c r="T10" s="5">
        <f>IF(AND((U4 =U10),(U10=0)),MOD(IF(T4=0,1,0)+1,2),IF(T4=0,1,0))</f>
        <v>1</v>
      </c>
      <c r="U10" s="6" t="s">
        <v>37</v>
      </c>
      <c r="V10" s="5">
        <f>IF(AND((W4 =W10),(W10=0)),MOD(IF(V4=0,1,0)+1,2),IF(V4=0,1,0))</f>
        <v>0</v>
      </c>
      <c r="W10" s="5">
        <f t="shared" ref="W10:X11" si="52">IF(AND((X4 =X10),(X10=0)),MOD(IF(W4=0,1,0)+1,2),IF(W4=0,1,0))</f>
        <v>0</v>
      </c>
      <c r="X10" s="5">
        <f t="shared" si="52"/>
        <v>0</v>
      </c>
      <c r="Y10" s="5">
        <f t="shared" ref="Y10:Y15" si="53">MOD(IF(Y4 = 0,1,0)+1,2)</f>
        <v>1</v>
      </c>
      <c r="AA10" s="18"/>
      <c r="AB10" s="3"/>
      <c r="AC10" s="3"/>
      <c r="AD10" s="3"/>
      <c r="AE10" s="3" t="s">
        <v>57</v>
      </c>
      <c r="AF10" s="3">
        <f>IF(MOD(SUM(AM7:AU7),2)=0,1,0)</f>
        <v>0</v>
      </c>
      <c r="AG10" s="3"/>
      <c r="AH10" s="3"/>
      <c r="AI10" s="3"/>
      <c r="AJ10" s="3"/>
      <c r="AK10" s="3"/>
      <c r="AL10" s="3"/>
      <c r="AM10" s="28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21"/>
      <c r="BA10" s="3"/>
      <c r="BB10" s="3"/>
      <c r="BC10" s="3"/>
      <c r="BD10" s="3"/>
      <c r="BE10" s="3"/>
      <c r="BF10" s="3"/>
      <c r="BG10" s="3"/>
      <c r="BH10" s="3"/>
      <c r="BI10" s="24"/>
    </row>
    <row r="11" spans="1:61" x14ac:dyDescent="0.2">
      <c r="A11" s="1" t="s">
        <v>10</v>
      </c>
      <c r="B11" s="2" t="s">
        <v>19</v>
      </c>
      <c r="C11">
        <f>-C5</f>
        <v>-14708</v>
      </c>
      <c r="E11" s="1" t="s">
        <v>32</v>
      </c>
      <c r="F11" s="2" t="s">
        <v>39</v>
      </c>
      <c r="G11" s="5">
        <f t="shared" si="49"/>
        <v>1</v>
      </c>
      <c r="H11" s="5">
        <f t="shared" si="49"/>
        <v>1</v>
      </c>
      <c r="I11" s="5">
        <f t="shared" si="49"/>
        <v>0</v>
      </c>
      <c r="J11" s="5">
        <f t="shared" si="50"/>
        <v>0</v>
      </c>
      <c r="K11" s="6" t="s">
        <v>37</v>
      </c>
      <c r="L11" s="5">
        <f t="shared" si="50"/>
        <v>0</v>
      </c>
      <c r="M11" s="5">
        <f t="shared" si="50"/>
        <v>1</v>
      </c>
      <c r="N11" s="5">
        <f t="shared" si="50"/>
        <v>1</v>
      </c>
      <c r="O11" s="5">
        <f t="shared" si="51"/>
        <v>0</v>
      </c>
      <c r="P11" s="6" t="s">
        <v>37</v>
      </c>
      <c r="Q11" s="5">
        <f t="shared" si="51"/>
        <v>1</v>
      </c>
      <c r="R11" s="5">
        <f t="shared" si="51"/>
        <v>0</v>
      </c>
      <c r="S11" s="5">
        <f t="shared" si="51"/>
        <v>0</v>
      </c>
      <c r="T11" s="5">
        <f>IF(AND((U5 =U11),(U11=0)),MOD(IF(T5=0,1,0)+1,2),IF(T5=0,1,0))</f>
        <v>0</v>
      </c>
      <c r="U11" s="6" t="s">
        <v>37</v>
      </c>
      <c r="V11" s="5">
        <f>IF(AND((W5 =W11),(W11=0)),MOD(IF(V5=0,1,0)+1,2),IF(V5=0,1,0))</f>
        <v>1</v>
      </c>
      <c r="W11" s="5">
        <f t="shared" si="52"/>
        <v>1</v>
      </c>
      <c r="X11" s="5">
        <f t="shared" si="52"/>
        <v>0</v>
      </c>
      <c r="Y11" s="5">
        <f t="shared" si="53"/>
        <v>0</v>
      </c>
      <c r="AA11" s="18"/>
      <c r="AB11" s="3"/>
      <c r="AC11" s="3"/>
      <c r="AD11" s="3"/>
      <c r="AE11" s="3" t="s">
        <v>58</v>
      </c>
      <c r="AF11" s="3">
        <f>IF(NOT(AS4=AS5),IF(AS7=1,0,1),IF(AS4=1,1,0))</f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21"/>
      <c r="BA11" s="3"/>
      <c r="BB11" s="3"/>
      <c r="BC11" s="3"/>
      <c r="BD11" s="3"/>
      <c r="BE11" s="3"/>
      <c r="BF11" s="3"/>
      <c r="BG11" s="3"/>
      <c r="BH11" s="3"/>
      <c r="BI11" s="24"/>
    </row>
    <row r="12" spans="1:61" x14ac:dyDescent="0.2">
      <c r="A12" s="1" t="s">
        <v>23</v>
      </c>
      <c r="B12" s="2" t="s">
        <v>18</v>
      </c>
      <c r="C12">
        <f>-C6</f>
        <v>-18915</v>
      </c>
      <c r="E12" s="1" t="s">
        <v>33</v>
      </c>
      <c r="F12" s="2" t="s">
        <v>40</v>
      </c>
      <c r="G12" s="5">
        <f t="shared" ref="G12:J12" si="54">IF(AND((H6 =H12),(H12=0)),MOD(IF(G6=0,1,0)+1,2),IF(G6=0,1,0))</f>
        <v>1</v>
      </c>
      <c r="H12" s="5">
        <f t="shared" si="54"/>
        <v>0</v>
      </c>
      <c r="I12" s="5">
        <f t="shared" si="54"/>
        <v>1</v>
      </c>
      <c r="J12" s="5">
        <f t="shared" si="54"/>
        <v>1</v>
      </c>
      <c r="K12" s="6" t="s">
        <v>37</v>
      </c>
      <c r="L12" s="5">
        <f t="shared" ref="L12:P12" si="55">IF(AND((M6 =M12),(M12=0)),MOD(IF(L6=0,1,0)+1,2),IF(L6=0,1,0))</f>
        <v>0</v>
      </c>
      <c r="M12" s="5">
        <f t="shared" si="55"/>
        <v>1</v>
      </c>
      <c r="N12" s="5">
        <f t="shared" si="55"/>
        <v>1</v>
      </c>
      <c r="O12" s="5">
        <f t="shared" si="55"/>
        <v>0</v>
      </c>
      <c r="P12" s="6" t="s">
        <v>37</v>
      </c>
      <c r="Q12" s="5">
        <f t="shared" ref="Q12:U12" si="56">IF(AND((R6 =R12),(R12=0)),MOD(IF(Q6=0,1,0)+1,2),IF(Q6=0,1,0))</f>
        <v>0</v>
      </c>
      <c r="R12" s="5">
        <f t="shared" si="56"/>
        <v>0</v>
      </c>
      <c r="S12" s="5">
        <f t="shared" si="56"/>
        <v>0</v>
      </c>
      <c r="T12" s="5">
        <f t="shared" si="56"/>
        <v>1</v>
      </c>
      <c r="U12" s="6" t="s">
        <v>37</v>
      </c>
      <c r="V12" s="5">
        <f t="shared" ref="V12:X12" si="57">IF(AND((W6 =W12),(W12=0)),MOD(IF(V6=0,1,0)+1,2),IF(V6=0,1,0))</f>
        <v>1</v>
      </c>
      <c r="W12" s="5">
        <f t="shared" si="57"/>
        <v>1</v>
      </c>
      <c r="X12" s="5">
        <f t="shared" si="57"/>
        <v>0</v>
      </c>
      <c r="Y12" s="5">
        <f t="shared" si="53"/>
        <v>1</v>
      </c>
      <c r="AA12" s="18"/>
      <c r="AB12" s="3"/>
      <c r="AC12" s="3"/>
      <c r="AD12" s="3"/>
      <c r="AE12" s="3" t="s">
        <v>59</v>
      </c>
      <c r="AF12" s="3">
        <f>IF(SUM(AC7:AU7)=0,1,0)</f>
        <v>0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21"/>
      <c r="BA12" s="3"/>
      <c r="BB12" s="3"/>
      <c r="BC12" s="3"/>
      <c r="BD12" s="3"/>
      <c r="BE12" s="3"/>
      <c r="BF12" s="3"/>
      <c r="BG12" s="3"/>
      <c r="BH12" s="3"/>
      <c r="BI12" s="24"/>
    </row>
    <row r="13" spans="1:61" x14ac:dyDescent="0.2">
      <c r="A13" s="1" t="s">
        <v>11</v>
      </c>
      <c r="B13" s="2" t="s">
        <v>21</v>
      </c>
      <c r="C13">
        <f>-C7</f>
        <v>-33623</v>
      </c>
      <c r="E13" s="1" t="s">
        <v>34</v>
      </c>
      <c r="F13" s="2" t="s">
        <v>41</v>
      </c>
      <c r="G13" s="5">
        <f t="shared" ref="G13:J13" si="58">IF(AND((H7 =H13),(H13=0)),MOD(IF(G7=0,1,0)+1,2),IF(G7=0,1,0))</f>
        <v>0</v>
      </c>
      <c r="H13" s="5">
        <f t="shared" si="58"/>
        <v>1</v>
      </c>
      <c r="I13" s="5">
        <f t="shared" si="58"/>
        <v>1</v>
      </c>
      <c r="J13" s="5">
        <f t="shared" si="58"/>
        <v>1</v>
      </c>
      <c r="K13" s="6" t="s">
        <v>37</v>
      </c>
      <c r="L13" s="5">
        <f t="shared" ref="L13:P13" si="59">IF(AND((M7 =M13),(M13=0)),MOD(IF(L7=0,1,0)+1,2),IF(L7=0,1,0))</f>
        <v>1</v>
      </c>
      <c r="M13" s="5">
        <f t="shared" si="59"/>
        <v>1</v>
      </c>
      <c r="N13" s="5">
        <f t="shared" si="59"/>
        <v>0</v>
      </c>
      <c r="O13" s="5">
        <f t="shared" si="59"/>
        <v>0</v>
      </c>
      <c r="P13" s="6" t="s">
        <v>37</v>
      </c>
      <c r="Q13" s="5">
        <f t="shared" ref="Q13:U13" si="60">IF(AND((R7 =R13),(R13=0)),MOD(IF(Q7=0,1,0)+1,2),IF(Q7=0,1,0))</f>
        <v>1</v>
      </c>
      <c r="R13" s="5">
        <f t="shared" si="60"/>
        <v>0</v>
      </c>
      <c r="S13" s="5">
        <f t="shared" si="60"/>
        <v>1</v>
      </c>
      <c r="T13" s="5">
        <f t="shared" si="60"/>
        <v>0</v>
      </c>
      <c r="U13" s="6" t="s">
        <v>37</v>
      </c>
      <c r="V13" s="5">
        <f t="shared" ref="V13:X13" si="61">IF(AND((W7 =W13),(W13=0)),MOD(IF(V7=0,1,0)+1,2),IF(V7=0,1,0))</f>
        <v>1</v>
      </c>
      <c r="W13" s="5">
        <f t="shared" si="61"/>
        <v>0</v>
      </c>
      <c r="X13" s="5">
        <f t="shared" si="61"/>
        <v>0</v>
      </c>
      <c r="Y13" s="5">
        <f t="shared" si="53"/>
        <v>1</v>
      </c>
      <c r="AA13" s="18"/>
      <c r="AB13" s="3"/>
      <c r="AC13" s="3"/>
      <c r="AD13" s="3"/>
      <c r="AE13" s="3" t="s">
        <v>60</v>
      </c>
      <c r="AF13" s="3">
        <f>IF(AC7=1,1,0)</f>
        <v>0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24"/>
    </row>
    <row r="14" spans="1:61" ht="17" thickBot="1" x14ac:dyDescent="0.25">
      <c r="A14" s="1" t="s">
        <v>12</v>
      </c>
      <c r="B14" s="2" t="s">
        <v>22</v>
      </c>
      <c r="C14">
        <f>-C8</f>
        <v>-10501</v>
      </c>
      <c r="E14" s="1" t="s">
        <v>35</v>
      </c>
      <c r="F14" s="2" t="s">
        <v>42</v>
      </c>
      <c r="G14" s="5">
        <f t="shared" ref="G14:J14" si="62">IF(AND((H8 =H14),(H14=0)),MOD(IF(G8=0,1,0)+1,2),IF(G8=0,1,0))</f>
        <v>1</v>
      </c>
      <c r="H14" s="5">
        <f t="shared" si="62"/>
        <v>1</v>
      </c>
      <c r="I14" s="5">
        <f t="shared" si="62"/>
        <v>0</v>
      </c>
      <c r="J14" s="5">
        <f t="shared" si="62"/>
        <v>1</v>
      </c>
      <c r="K14" s="6" t="s">
        <v>37</v>
      </c>
      <c r="L14" s="5">
        <f t="shared" ref="L14:P14" si="63">IF(AND((M8 =M14),(M14=0)),MOD(IF(L8=0,1,0)+1,2),IF(L8=0,1,0))</f>
        <v>0</v>
      </c>
      <c r="M14" s="5">
        <f t="shared" si="63"/>
        <v>1</v>
      </c>
      <c r="N14" s="5">
        <f t="shared" si="63"/>
        <v>1</v>
      </c>
      <c r="O14" s="5">
        <f t="shared" si="63"/>
        <v>0</v>
      </c>
      <c r="P14" s="6" t="s">
        <v>37</v>
      </c>
      <c r="Q14" s="5">
        <f t="shared" ref="Q14:U14" si="64">IF(AND((R8 =R14),(R14=0)),MOD(IF(Q8=0,1,0)+1,2),IF(Q8=0,1,0))</f>
        <v>1</v>
      </c>
      <c r="R14" s="5">
        <f t="shared" si="64"/>
        <v>1</v>
      </c>
      <c r="S14" s="5">
        <f t="shared" si="64"/>
        <v>1</v>
      </c>
      <c r="T14" s="5">
        <f t="shared" si="64"/>
        <v>1</v>
      </c>
      <c r="U14" s="6" t="s">
        <v>37</v>
      </c>
      <c r="V14" s="5">
        <f t="shared" ref="V14:X14" si="65">IF(AND((W8 =W14),(W14=0)),MOD(IF(V8=0,1,0)+1,2),IF(V8=0,1,0))</f>
        <v>1</v>
      </c>
      <c r="W14" s="5">
        <f t="shared" si="65"/>
        <v>0</v>
      </c>
      <c r="X14" s="5">
        <f t="shared" si="65"/>
        <v>1</v>
      </c>
      <c r="Y14" s="5">
        <f t="shared" si="53"/>
        <v>1</v>
      </c>
      <c r="Z14" s="4"/>
      <c r="AA14" s="25"/>
      <c r="AB14" s="26"/>
      <c r="AC14" s="26"/>
      <c r="AD14" s="26"/>
      <c r="AE14" s="26" t="s">
        <v>61</v>
      </c>
      <c r="AF14" s="26">
        <f>_xlfn.XOR((IF(NOT(AD4=AD5),IF(AD7=1,0,1),IF(AD4=1,1,0))=1),IF(NOT(AC4=AC5),IF(AC7=1,0,1),IF(AC4=1,1,0))=1)*1</f>
        <v>0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7"/>
    </row>
    <row r="15" spans="1:61" x14ac:dyDescent="0.2">
      <c r="A15" s="1" t="s">
        <v>13</v>
      </c>
      <c r="B15" s="2" t="s">
        <v>24</v>
      </c>
      <c r="C15">
        <f>-C9</f>
        <v>-31913</v>
      </c>
      <c r="E15" s="1" t="s">
        <v>36</v>
      </c>
      <c r="F15" s="2" t="s">
        <v>43</v>
      </c>
      <c r="G15" s="5">
        <f t="shared" ref="G15:J15" si="66">IF(AND((H9 =H15),(H15=0)),MOD(IF(G9=0,1,0)+1,2),IF(G9=0,1,0))</f>
        <v>1</v>
      </c>
      <c r="H15" s="5">
        <f t="shared" si="66"/>
        <v>0</v>
      </c>
      <c r="I15" s="5">
        <f t="shared" si="66"/>
        <v>0</v>
      </c>
      <c r="J15" s="5">
        <f t="shared" si="66"/>
        <v>0</v>
      </c>
      <c r="K15" s="6" t="s">
        <v>37</v>
      </c>
      <c r="L15" s="5">
        <f t="shared" ref="L15:P15" si="67">IF(AND((M9 =M15),(M15=0)),MOD(IF(L9=0,1,0)+1,2),IF(L9=0,1,0))</f>
        <v>0</v>
      </c>
      <c r="M15" s="5">
        <f t="shared" si="67"/>
        <v>0</v>
      </c>
      <c r="N15" s="5">
        <f t="shared" si="67"/>
        <v>1</v>
      </c>
      <c r="O15" s="5">
        <f t="shared" si="67"/>
        <v>1</v>
      </c>
      <c r="P15" s="6" t="s">
        <v>37</v>
      </c>
      <c r="Q15" s="5">
        <f t="shared" ref="Q15:U15" si="68">IF(AND((R9 =R15),(R15=0)),MOD(IF(Q9=0,1,0)+1,2),IF(Q9=0,1,0))</f>
        <v>0</v>
      </c>
      <c r="R15" s="5">
        <f t="shared" si="68"/>
        <v>1</v>
      </c>
      <c r="S15" s="5">
        <f t="shared" si="68"/>
        <v>0</v>
      </c>
      <c r="T15" s="5">
        <f t="shared" si="68"/>
        <v>1</v>
      </c>
      <c r="U15" s="6" t="s">
        <v>37</v>
      </c>
      <c r="V15" s="5">
        <f t="shared" ref="V15:X15" si="69">IF(AND((W9 =W15),(W15=0)),MOD(IF(V9=0,1,0)+1,2),IF(V9=0,1,0))</f>
        <v>0</v>
      </c>
      <c r="W15" s="5">
        <f t="shared" si="69"/>
        <v>1</v>
      </c>
      <c r="X15" s="5">
        <f t="shared" si="69"/>
        <v>1</v>
      </c>
      <c r="Y15" s="5">
        <f t="shared" si="53"/>
        <v>1</v>
      </c>
    </row>
    <row r="16" spans="1:61" ht="17" thickBot="1" x14ac:dyDescent="0.25">
      <c r="A16" s="1"/>
      <c r="B16" s="1"/>
    </row>
    <row r="17" spans="1:61" ht="18" customHeight="1" x14ac:dyDescent="0.25">
      <c r="A17" s="1"/>
      <c r="B17" s="1"/>
      <c r="AA17" s="7"/>
      <c r="AB17" s="8" t="s">
        <v>45</v>
      </c>
      <c r="AC17" s="9">
        <f>G5</f>
        <v>0</v>
      </c>
      <c r="AD17" s="9">
        <f t="shared" ref="AD17:AU17" si="70">H5</f>
        <v>0</v>
      </c>
      <c r="AE17" s="9">
        <f t="shared" si="70"/>
        <v>1</v>
      </c>
      <c r="AF17" s="9">
        <f t="shared" si="70"/>
        <v>1</v>
      </c>
      <c r="AG17" s="9" t="str">
        <f t="shared" si="70"/>
        <v>.</v>
      </c>
      <c r="AH17" s="9">
        <f t="shared" si="70"/>
        <v>1</v>
      </c>
      <c r="AI17" s="9">
        <f t="shared" si="70"/>
        <v>0</v>
      </c>
      <c r="AJ17" s="9">
        <f t="shared" si="70"/>
        <v>0</v>
      </c>
      <c r="AK17" s="9">
        <f t="shared" si="70"/>
        <v>1</v>
      </c>
      <c r="AL17" s="9" t="str">
        <f t="shared" si="70"/>
        <v>.</v>
      </c>
      <c r="AM17" s="9">
        <f t="shared" si="70"/>
        <v>0</v>
      </c>
      <c r="AN17" s="9">
        <f t="shared" si="70"/>
        <v>1</v>
      </c>
      <c r="AO17" s="9">
        <f t="shared" si="70"/>
        <v>1</v>
      </c>
      <c r="AP17" s="9">
        <f t="shared" si="70"/>
        <v>1</v>
      </c>
      <c r="AQ17" s="9" t="str">
        <f t="shared" si="70"/>
        <v>.</v>
      </c>
      <c r="AR17" s="9">
        <f t="shared" si="70"/>
        <v>0</v>
      </c>
      <c r="AS17" s="9">
        <f t="shared" si="70"/>
        <v>1</v>
      </c>
      <c r="AT17" s="9">
        <f t="shared" si="70"/>
        <v>0</v>
      </c>
      <c r="AU17" s="9">
        <f t="shared" si="70"/>
        <v>0</v>
      </c>
      <c r="AV17" s="9"/>
      <c r="AW17" s="9"/>
      <c r="AX17" s="9"/>
      <c r="AY17" s="9"/>
      <c r="AZ17" s="10" t="s">
        <v>64</v>
      </c>
      <c r="BA17" s="9"/>
      <c r="BB17" s="9">
        <f>C5</f>
        <v>14708</v>
      </c>
      <c r="BC17" s="9"/>
      <c r="BD17" s="9"/>
      <c r="BE17" s="11" t="s">
        <v>73</v>
      </c>
      <c r="BF17" s="11"/>
      <c r="BG17" s="11"/>
      <c r="BH17" s="11"/>
      <c r="BI17" s="12"/>
    </row>
    <row r="18" spans="1:61" ht="18" x14ac:dyDescent="0.25">
      <c r="A18" s="1"/>
      <c r="B18" s="1"/>
      <c r="AA18" s="13" t="s">
        <v>46</v>
      </c>
      <c r="AB18" s="14" t="s">
        <v>63</v>
      </c>
      <c r="AC18" s="3">
        <f>G6</f>
        <v>0</v>
      </c>
      <c r="AD18" s="3">
        <f t="shared" ref="AD18:AU18" si="71">H6</f>
        <v>1</v>
      </c>
      <c r="AE18" s="3">
        <f t="shared" si="71"/>
        <v>0</v>
      </c>
      <c r="AF18" s="3">
        <f t="shared" si="71"/>
        <v>0</v>
      </c>
      <c r="AG18" s="3" t="str">
        <f t="shared" si="71"/>
        <v>.</v>
      </c>
      <c r="AH18" s="3">
        <f t="shared" si="71"/>
        <v>1</v>
      </c>
      <c r="AI18" s="3">
        <f t="shared" si="71"/>
        <v>0</v>
      </c>
      <c r="AJ18" s="3">
        <f t="shared" si="71"/>
        <v>0</v>
      </c>
      <c r="AK18" s="3">
        <f t="shared" si="71"/>
        <v>1</v>
      </c>
      <c r="AL18" s="3" t="str">
        <f t="shared" si="71"/>
        <v>.</v>
      </c>
      <c r="AM18" s="3">
        <f t="shared" si="71"/>
        <v>1</v>
      </c>
      <c r="AN18" s="3">
        <f t="shared" si="71"/>
        <v>1</v>
      </c>
      <c r="AO18" s="3">
        <f t="shared" si="71"/>
        <v>1</v>
      </c>
      <c r="AP18" s="3">
        <f t="shared" si="71"/>
        <v>0</v>
      </c>
      <c r="AQ18" s="3" t="str">
        <f t="shared" si="71"/>
        <v>.</v>
      </c>
      <c r="AR18" s="3">
        <f t="shared" si="71"/>
        <v>0</v>
      </c>
      <c r="AS18" s="3">
        <f t="shared" si="71"/>
        <v>0</v>
      </c>
      <c r="AT18" s="3">
        <f t="shared" si="71"/>
        <v>1</v>
      </c>
      <c r="AU18" s="3">
        <f t="shared" si="71"/>
        <v>1</v>
      </c>
      <c r="AV18" s="3"/>
      <c r="AW18" s="3"/>
      <c r="AX18" s="3"/>
      <c r="AY18" s="14" t="s">
        <v>46</v>
      </c>
      <c r="AZ18" s="15" t="s">
        <v>65</v>
      </c>
      <c r="BA18" s="3"/>
      <c r="BB18" s="3">
        <f>C6</f>
        <v>18915</v>
      </c>
      <c r="BC18" s="3"/>
      <c r="BD18" s="3"/>
      <c r="BE18" s="16"/>
      <c r="BF18" s="16"/>
      <c r="BG18" s="16"/>
      <c r="BH18" s="16"/>
      <c r="BI18" s="17"/>
    </row>
    <row r="19" spans="1:61" x14ac:dyDescent="0.2">
      <c r="B19" s="1"/>
      <c r="AA19" s="18"/>
      <c r="AB19" s="19" t="s">
        <v>49</v>
      </c>
      <c r="AC19" s="19" t="s">
        <v>48</v>
      </c>
      <c r="AD19" s="19" t="s">
        <v>48</v>
      </c>
      <c r="AE19" s="19" t="s">
        <v>48</v>
      </c>
      <c r="AF19" s="19" t="s">
        <v>48</v>
      </c>
      <c r="AG19" s="19" t="s">
        <v>48</v>
      </c>
      <c r="AH19" s="19" t="s">
        <v>48</v>
      </c>
      <c r="AI19" s="19" t="s">
        <v>48</v>
      </c>
      <c r="AJ19" s="19" t="s">
        <v>48</v>
      </c>
      <c r="AK19" s="19" t="s">
        <v>48</v>
      </c>
      <c r="AL19" s="19" t="s">
        <v>48</v>
      </c>
      <c r="AM19" s="19" t="s">
        <v>48</v>
      </c>
      <c r="AN19" s="19" t="s">
        <v>48</v>
      </c>
      <c r="AO19" s="19" t="s">
        <v>48</v>
      </c>
      <c r="AP19" s="19" t="s">
        <v>48</v>
      </c>
      <c r="AQ19" s="19" t="s">
        <v>48</v>
      </c>
      <c r="AR19" s="19" t="s">
        <v>48</v>
      </c>
      <c r="AS19" s="19" t="s">
        <v>48</v>
      </c>
      <c r="AT19" s="19" t="s">
        <v>48</v>
      </c>
      <c r="AU19" s="19" t="s">
        <v>48</v>
      </c>
      <c r="AV19" s="3"/>
      <c r="AW19" s="3"/>
      <c r="AX19" s="3"/>
      <c r="AY19" s="14" t="s">
        <v>54</v>
      </c>
      <c r="AZ19" s="15" t="s">
        <v>47</v>
      </c>
      <c r="BA19" s="14" t="s">
        <v>48</v>
      </c>
      <c r="BB19" s="14" t="s">
        <v>55</v>
      </c>
      <c r="BC19" s="3"/>
      <c r="BD19" s="3"/>
      <c r="BE19" s="16"/>
      <c r="BF19" s="16"/>
      <c r="BG19" s="16"/>
      <c r="BH19" s="16"/>
      <c r="BI19" s="17"/>
    </row>
    <row r="20" spans="1:61" ht="18" x14ac:dyDescent="0.25">
      <c r="AA20" s="18"/>
      <c r="AB20" s="15" t="s">
        <v>54</v>
      </c>
      <c r="AC20" s="3">
        <f t="shared" ref="AC20:AS20" si="72">IF(NOT(AD17=AD18),IF(AD20=1,MOD(AC17+AC18,2),MOD(AC17+AC18+1,2)),IF(AD17=1,MOD(AC17+AC18+1,2),MOD(AC17+AC18,2)))</f>
        <v>1</v>
      </c>
      <c r="AD20" s="3">
        <f t="shared" si="72"/>
        <v>0</v>
      </c>
      <c r="AE20" s="3">
        <f t="shared" si="72"/>
        <v>0</v>
      </c>
      <c r="AF20" s="3">
        <f>IF(NOT(AH17=AH18),IF(AH20=1,MOD(AF17+AF18,2),MOD(AF17+AF18+1,2)),IF(AH17=1,MOD(AF17+AF18+1,2),MOD(AF17+AF18,2)))</f>
        <v>0</v>
      </c>
      <c r="AG20" s="3" t="s">
        <v>37</v>
      </c>
      <c r="AH20" s="3">
        <f t="shared" si="72"/>
        <v>0</v>
      </c>
      <c r="AI20" s="3">
        <f t="shared" si="72"/>
        <v>0</v>
      </c>
      <c r="AJ20" s="3">
        <f t="shared" si="72"/>
        <v>1</v>
      </c>
      <c r="AK20" s="3">
        <f>IF(NOT(AM17=AM18),IF(AM20=1,MOD(AK17+AK18,2),MOD(AK17+AK18+1,2)),IF(AM17=1,MOD(AK17+AK18+1,2),MOD(AK17+AK18,2)))</f>
        <v>1</v>
      </c>
      <c r="AL20" s="3" t="s">
        <v>37</v>
      </c>
      <c r="AM20" s="3">
        <f t="shared" si="72"/>
        <v>0</v>
      </c>
      <c r="AN20" s="3">
        <f t="shared" si="72"/>
        <v>1</v>
      </c>
      <c r="AO20" s="3">
        <f t="shared" si="72"/>
        <v>0</v>
      </c>
      <c r="AP20" s="3">
        <f>IF(NOT(AR17=AR18),IF(AR20=1,MOD(AP17+AP18,2),MOD(AP17+AP18+1,2)),IF(AR17=1,MOD(AP17+AP18+1,2),MOD(AP17+AP18,2)))</f>
        <v>1</v>
      </c>
      <c r="AQ20" s="3" t="s">
        <v>37</v>
      </c>
      <c r="AR20" s="3">
        <f t="shared" si="72"/>
        <v>0</v>
      </c>
      <c r="AS20" s="3">
        <f t="shared" si="72"/>
        <v>1</v>
      </c>
      <c r="AT20" s="3">
        <f>IF(NOT(AU17=AU18),IF(AU20=1,MOD(AT17+AT18,2),MOD(AT17+AT18+1,2)),IF(AU17=1,MOD(AT17+AT18+1,2),MOD(AT17+AT18,2)))</f>
        <v>1</v>
      </c>
      <c r="AU20" s="3">
        <f>MOD(AU17+AU18,2)</f>
        <v>1</v>
      </c>
      <c r="AV20" s="20" t="s">
        <v>50</v>
      </c>
      <c r="AW20" s="3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20" t="s">
        <v>51</v>
      </c>
      <c r="AY20" s="3"/>
      <c r="AZ20" s="21"/>
      <c r="BA20" s="3"/>
      <c r="BB20" s="3">
        <f>BB17+BB18</f>
        <v>33623</v>
      </c>
      <c r="BC20" s="20" t="s">
        <v>51</v>
      </c>
      <c r="BD20" s="3"/>
      <c r="BE20" s="16"/>
      <c r="BF20" s="16"/>
      <c r="BG20" s="16"/>
      <c r="BH20" s="16"/>
      <c r="BI20" s="17"/>
    </row>
    <row r="21" spans="1:61" x14ac:dyDescent="0.2">
      <c r="D21" s="29"/>
      <c r="AA21" s="18"/>
      <c r="AB21" s="22" t="s">
        <v>72</v>
      </c>
      <c r="AC21" s="23"/>
      <c r="AD21" s="3">
        <f t="shared" ref="AD21" si="73">IF(NOT(NOT(AE20)*1=0),IF(AE21=1,MOD(NOT(AD20),2),MOD(NOT(AD20)+1,2)),IF(NOT(AE20)*1=1,MOD(NOT(AD20)+1,2),MOD(NOT(AD20),2)))</f>
        <v>1</v>
      </c>
      <c r="AE21" s="3">
        <f t="shared" ref="AE21" si="74">IF(NOT(NOT(AF20)*1=0),IF(AF21=1,MOD(NOT(AE20),2),MOD(NOT(AE20)+1,2)),IF(NOT(AF20)*1=1,MOD(NOT(AE20)+1,2),MOD(NOT(AE20),2)))</f>
        <v>1</v>
      </c>
      <c r="AF21" s="3">
        <f>IF(NOT(NOT(AH20)*1=0),IF(AH21=1,MOD(NOT(AF20),2),MOD(NOT(AF20)+1,2)),IF(NOT(AH20)*1=1,MOD(NOT(AF20)+1,2),MOD(NOT(AF20),2)))</f>
        <v>1</v>
      </c>
      <c r="AG21" s="3" t="s">
        <v>37</v>
      </c>
      <c r="AH21" s="3">
        <f t="shared" ref="AH21" si="75">IF(NOT(NOT(AI20)*1=0),IF(AI21=1,MOD(NOT(AH20),2),MOD(NOT(AH20)+1,2)),IF(NOT(AI20)*1=1,MOD(NOT(AH20)+1,2),MOD(NOT(AH20),2)))</f>
        <v>1</v>
      </c>
      <c r="AI21" s="3">
        <f t="shared" ref="AI21" si="76">IF(NOT(NOT(AJ20)*1=0),IF(AJ21=1,MOD(NOT(AI20),2),MOD(NOT(AI20)+1,2)),IF(NOT(AJ20)*1=1,MOD(NOT(AI20)+1,2),MOD(NOT(AI20),2)))</f>
        <v>1</v>
      </c>
      <c r="AJ21" s="3">
        <f t="shared" ref="AJ21" si="77">IF(NOT(NOT(AK20)*1=0),IF(AK21=1,MOD(NOT(AJ20),2),MOD(NOT(AJ20)+1,2)),IF(NOT(AK20)*1=1,MOD(NOT(AJ20)+1,2),MOD(NOT(AJ20),2)))</f>
        <v>0</v>
      </c>
      <c r="AK21" s="3">
        <f>IF(NOT(NOT(AM20)*1=0),IF(AM21=1,MOD(NOT(AK20),2),MOD(NOT(AK20)+1,2)),IF(NOT(AM20)*1=1,MOD(NOT(AK20)+1,2),MOD(NOT(AK20),2)))</f>
        <v>0</v>
      </c>
      <c r="AL21" s="3" t="s">
        <v>37</v>
      </c>
      <c r="AM21" s="3">
        <f t="shared" ref="AM21" si="78">IF(NOT(NOT(AN20)*1=0),IF(AN21=1,MOD(NOT(AM20),2),MOD(NOT(AM20)+1,2)),IF(NOT(AN20)*1=1,MOD(NOT(AM20)+1,2),MOD(NOT(AM20),2)))</f>
        <v>1</v>
      </c>
      <c r="AN21" s="3">
        <f t="shared" ref="AN21" si="79">IF(NOT(NOT(AO20)*1=0),IF(AO21=1,MOD(NOT(AN20),2),MOD(NOT(AN20)+1,2)),IF(NOT(AO20)*1=1,MOD(NOT(AN20)+1,2),MOD(NOT(AN20),2)))</f>
        <v>0</v>
      </c>
      <c r="AO21" s="3">
        <f t="shared" ref="AO21" si="80">IF(NOT(NOT(AP20)*1=0),IF(AP21=1,MOD(NOT(AO20),2),MOD(NOT(AO20)+1,2)),IF(NOT(AP20)*1=1,MOD(NOT(AO20)+1,2),MOD(NOT(AO20),2)))</f>
        <v>1</v>
      </c>
      <c r="AP21" s="3">
        <f>IF(NOT(NOT(AR20)*1=0),IF(AR21=1,MOD(NOT(AP20),2),MOD(NOT(AP20)+1,2)),IF(NOT(AR20)*1=1,MOD(NOT(AP20)+1,2),MOD(NOT(AP20),2)))</f>
        <v>0</v>
      </c>
      <c r="AQ21" s="3" t="s">
        <v>37</v>
      </c>
      <c r="AR21" s="3">
        <f t="shared" ref="AR21" si="81">IF(NOT(NOT(AS20)*1=0),IF(AS21=1,MOD(NOT(AR20),2),MOD(NOT(AR20)+1,2)),IF(NOT(AS20)*1=1,MOD(NOT(AR20)+1,2),MOD(NOT(AR20),2)))</f>
        <v>1</v>
      </c>
      <c r="AS21" s="3">
        <f t="shared" ref="AS21" si="82">IF(NOT(NOT(AT20)*1=0),IF(AT21=1,MOD(NOT(AS20),2),MOD(NOT(AS20)+1,2)),IF(NOT(AT20)*1=1,MOD(NOT(AS20)+1,2),MOD(NOT(AS20),2)))</f>
        <v>0</v>
      </c>
      <c r="AT21" s="3">
        <f>IF(NOT(NOT(AU20)*1=0),IF(AU21=1,MOD(NOT(AT20),2),MOD(NOT(AT20)+1,2)),IF(NOT(AU20)*1=1,MOD(NOT(AT20)+1,2),MOD(NOT(AT20),2)))</f>
        <v>0</v>
      </c>
      <c r="AU21" s="3">
        <f>MOD(NOT(AU20)+1,2)</f>
        <v>1</v>
      </c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24"/>
    </row>
    <row r="22" spans="1:61" x14ac:dyDescent="0.2">
      <c r="A22" t="s">
        <v>84</v>
      </c>
      <c r="AA22" s="18"/>
      <c r="AB22" s="3"/>
      <c r="AC22" s="3"/>
      <c r="AD22" s="3"/>
      <c r="AE22" s="3" t="s">
        <v>56</v>
      </c>
      <c r="AF22" s="3">
        <f>IF(NOT(AC17=AC18),IF(AC20=1,0,1),IF(AC17=1,1,0))</f>
        <v>0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24"/>
    </row>
    <row r="23" spans="1:61" x14ac:dyDescent="0.2">
      <c r="AA23" s="18"/>
      <c r="AB23" s="3"/>
      <c r="AC23" s="3"/>
      <c r="AD23" s="3"/>
      <c r="AE23" s="3" t="s">
        <v>57</v>
      </c>
      <c r="AF23" s="3">
        <f>IF(MOD(SUM(AM20:AU20),2)=0,1,0)</f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24"/>
    </row>
    <row r="24" spans="1:61" x14ac:dyDescent="0.2">
      <c r="AA24" s="18"/>
      <c r="AB24" s="3"/>
      <c r="AC24" s="3"/>
      <c r="AD24" s="3"/>
      <c r="AE24" s="3" t="s">
        <v>58</v>
      </c>
      <c r="AF24" s="3">
        <f>IF(NOT(AS17=AS18),IF(AS20=1,0,1),IF(AS17=1,1,0))</f>
        <v>0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24"/>
    </row>
    <row r="25" spans="1:61" x14ac:dyDescent="0.2">
      <c r="AA25" s="18"/>
      <c r="AB25" s="3"/>
      <c r="AC25" s="3"/>
      <c r="AD25" s="3"/>
      <c r="AE25" s="3" t="s">
        <v>59</v>
      </c>
      <c r="AF25" s="3">
        <f>IF(SUM(AC20:AU20)=0,1,0)</f>
        <v>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24"/>
    </row>
    <row r="26" spans="1:61" x14ac:dyDescent="0.2">
      <c r="AA26" s="18"/>
      <c r="AB26" s="3"/>
      <c r="AC26" s="3"/>
      <c r="AD26" s="3"/>
      <c r="AE26" s="3" t="s">
        <v>60</v>
      </c>
      <c r="AF26" s="3">
        <f>IF(AC20=1,1,0)</f>
        <v>1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24"/>
    </row>
    <row r="27" spans="1:61" ht="17" thickBot="1" x14ac:dyDescent="0.25">
      <c r="AA27" s="25"/>
      <c r="AB27" s="26"/>
      <c r="AC27" s="26"/>
      <c r="AD27" s="26"/>
      <c r="AE27" s="26" t="s">
        <v>61</v>
      </c>
      <c r="AF27" s="26">
        <f>_xlfn.XOR((IF(NOT(AD17=AD18),IF(AD20=1,0,1),IF(AD17=1,1,0))=1),IF(NOT(AC17=AC18),IF(AC20=1,0,1),IF(AC17=1,1,0))=1)*1</f>
        <v>1</v>
      </c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7"/>
    </row>
    <row r="29" spans="1:61" ht="17" thickBot="1" x14ac:dyDescent="0.25"/>
    <row r="30" spans="1:61" ht="18" x14ac:dyDescent="0.25">
      <c r="AA30" s="7"/>
      <c r="AB30" s="8" t="s">
        <v>45</v>
      </c>
      <c r="AC30" s="9">
        <f>G5</f>
        <v>0</v>
      </c>
      <c r="AD30" s="9">
        <f t="shared" ref="AD30:AU30" si="83">H5</f>
        <v>0</v>
      </c>
      <c r="AE30" s="9">
        <f t="shared" si="83"/>
        <v>1</v>
      </c>
      <c r="AF30" s="9">
        <f t="shared" si="83"/>
        <v>1</v>
      </c>
      <c r="AG30" s="9" t="str">
        <f t="shared" si="83"/>
        <v>.</v>
      </c>
      <c r="AH30" s="9">
        <f t="shared" si="83"/>
        <v>1</v>
      </c>
      <c r="AI30" s="9">
        <f t="shared" si="83"/>
        <v>0</v>
      </c>
      <c r="AJ30" s="9">
        <f t="shared" si="83"/>
        <v>0</v>
      </c>
      <c r="AK30" s="9">
        <f t="shared" si="83"/>
        <v>1</v>
      </c>
      <c r="AL30" s="9" t="str">
        <f t="shared" si="83"/>
        <v>.</v>
      </c>
      <c r="AM30" s="9">
        <f t="shared" si="83"/>
        <v>0</v>
      </c>
      <c r="AN30" s="9">
        <f t="shared" si="83"/>
        <v>1</v>
      </c>
      <c r="AO30" s="9">
        <f t="shared" si="83"/>
        <v>1</v>
      </c>
      <c r="AP30" s="9">
        <f t="shared" si="83"/>
        <v>1</v>
      </c>
      <c r="AQ30" s="9" t="str">
        <f t="shared" si="83"/>
        <v>.</v>
      </c>
      <c r="AR30" s="9">
        <f t="shared" si="83"/>
        <v>0</v>
      </c>
      <c r="AS30" s="9">
        <f t="shared" si="83"/>
        <v>1</v>
      </c>
      <c r="AT30" s="9">
        <f t="shared" si="83"/>
        <v>0</v>
      </c>
      <c r="AU30" s="9">
        <f t="shared" si="83"/>
        <v>0</v>
      </c>
      <c r="AV30" s="9"/>
      <c r="AW30" s="9"/>
      <c r="AX30" s="9"/>
      <c r="AY30" s="9"/>
      <c r="AZ30" s="10" t="s">
        <v>64</v>
      </c>
      <c r="BA30" s="9"/>
      <c r="BB30" s="9">
        <f>C5</f>
        <v>14708</v>
      </c>
      <c r="BC30" s="9"/>
      <c r="BD30" s="9"/>
      <c r="BE30" s="11" t="s">
        <v>77</v>
      </c>
      <c r="BF30" s="11"/>
      <c r="BG30" s="11"/>
      <c r="BH30" s="11"/>
      <c r="BI30" s="12"/>
    </row>
    <row r="31" spans="1:61" ht="18" x14ac:dyDescent="0.25">
      <c r="AA31" s="13" t="s">
        <v>46</v>
      </c>
      <c r="AB31" s="14" t="s">
        <v>66</v>
      </c>
      <c r="AC31" s="3">
        <f>G10</f>
        <v>1</v>
      </c>
      <c r="AD31" s="3">
        <f t="shared" ref="AD31:AU31" si="84">H10</f>
        <v>1</v>
      </c>
      <c r="AE31" s="3">
        <f t="shared" si="84"/>
        <v>1</v>
      </c>
      <c r="AF31" s="3">
        <f t="shared" si="84"/>
        <v>0</v>
      </c>
      <c r="AG31" s="3" t="str">
        <f t="shared" si="84"/>
        <v>.</v>
      </c>
      <c r="AH31" s="3">
        <f t="shared" si="84"/>
        <v>1</v>
      </c>
      <c r="AI31" s="3">
        <f t="shared" si="84"/>
        <v>1</v>
      </c>
      <c r="AJ31" s="3">
        <f t="shared" si="84"/>
        <v>1</v>
      </c>
      <c r="AK31" s="3">
        <f t="shared" si="84"/>
        <v>1</v>
      </c>
      <c r="AL31" s="3" t="str">
        <f t="shared" si="84"/>
        <v>.</v>
      </c>
      <c r="AM31" s="3">
        <f t="shared" si="84"/>
        <v>1</v>
      </c>
      <c r="AN31" s="3">
        <f t="shared" si="84"/>
        <v>0</v>
      </c>
      <c r="AO31" s="3">
        <f t="shared" si="84"/>
        <v>0</v>
      </c>
      <c r="AP31" s="3">
        <f t="shared" si="84"/>
        <v>1</v>
      </c>
      <c r="AQ31" s="3" t="str">
        <f t="shared" si="84"/>
        <v>.</v>
      </c>
      <c r="AR31" s="3">
        <f t="shared" si="84"/>
        <v>0</v>
      </c>
      <c r="AS31" s="3">
        <f t="shared" si="84"/>
        <v>0</v>
      </c>
      <c r="AT31" s="3">
        <f t="shared" si="84"/>
        <v>0</v>
      </c>
      <c r="AU31" s="3">
        <f t="shared" si="84"/>
        <v>1</v>
      </c>
      <c r="AV31" s="3"/>
      <c r="AW31" s="3"/>
      <c r="AX31" s="3"/>
      <c r="AY31" s="14" t="s">
        <v>46</v>
      </c>
      <c r="AZ31" s="15" t="s">
        <v>67</v>
      </c>
      <c r="BA31" s="3"/>
      <c r="BB31" s="3">
        <f>C10</f>
        <v>-4207</v>
      </c>
      <c r="BC31" s="3"/>
      <c r="BD31" s="3"/>
      <c r="BE31" s="16"/>
      <c r="BF31" s="16"/>
      <c r="BG31" s="16"/>
      <c r="BH31" s="16"/>
      <c r="BI31" s="17"/>
    </row>
    <row r="32" spans="1:61" x14ac:dyDescent="0.2">
      <c r="AA32" s="18"/>
      <c r="AB32" s="19" t="s">
        <v>49</v>
      </c>
      <c r="AC32" s="19" t="s">
        <v>48</v>
      </c>
      <c r="AD32" s="19" t="s">
        <v>48</v>
      </c>
      <c r="AE32" s="19" t="s">
        <v>48</v>
      </c>
      <c r="AF32" s="19" t="s">
        <v>48</v>
      </c>
      <c r="AG32" s="19" t="s">
        <v>48</v>
      </c>
      <c r="AH32" s="19" t="s">
        <v>48</v>
      </c>
      <c r="AI32" s="19" t="s">
        <v>48</v>
      </c>
      <c r="AJ32" s="19" t="s">
        <v>48</v>
      </c>
      <c r="AK32" s="19" t="s">
        <v>48</v>
      </c>
      <c r="AL32" s="19" t="s">
        <v>48</v>
      </c>
      <c r="AM32" s="19" t="s">
        <v>48</v>
      </c>
      <c r="AN32" s="19" t="s">
        <v>48</v>
      </c>
      <c r="AO32" s="19" t="s">
        <v>48</v>
      </c>
      <c r="AP32" s="19" t="s">
        <v>48</v>
      </c>
      <c r="AQ32" s="19" t="s">
        <v>48</v>
      </c>
      <c r="AR32" s="19" t="s">
        <v>48</v>
      </c>
      <c r="AS32" s="19" t="s">
        <v>48</v>
      </c>
      <c r="AT32" s="19" t="s">
        <v>48</v>
      </c>
      <c r="AU32" s="19" t="s">
        <v>48</v>
      </c>
      <c r="AV32" s="3"/>
      <c r="AW32" s="3"/>
      <c r="AX32" s="3"/>
      <c r="AY32" s="14" t="s">
        <v>54</v>
      </c>
      <c r="AZ32" s="15" t="s">
        <v>47</v>
      </c>
      <c r="BA32" s="14" t="s">
        <v>48</v>
      </c>
      <c r="BB32" s="14" t="s">
        <v>55</v>
      </c>
      <c r="BC32" s="3"/>
      <c r="BD32" s="3"/>
      <c r="BE32" s="16"/>
      <c r="BF32" s="16"/>
      <c r="BG32" s="16"/>
      <c r="BH32" s="16"/>
      <c r="BI32" s="17"/>
    </row>
    <row r="33" spans="27:61" ht="18" x14ac:dyDescent="0.25">
      <c r="AA33" s="18"/>
      <c r="AB33" s="15" t="s">
        <v>54</v>
      </c>
      <c r="AC33" s="3">
        <f t="shared" ref="AC33:AE33" si="85">IF(NOT(AD30=AD31),IF(AD33=1,MOD(AC30+AC31,2),MOD(AC30+AC31+1,2)),IF(AD30=1,MOD(AC30+AC31+1,2),MOD(AC30+AC31,2)))</f>
        <v>0</v>
      </c>
      <c r="AD33" s="3">
        <f t="shared" si="85"/>
        <v>0</v>
      </c>
      <c r="AE33" s="3">
        <f t="shared" si="85"/>
        <v>1</v>
      </c>
      <c r="AF33" s="3">
        <f>IF(NOT(AH30=AH31),IF(AH33=1,MOD(AF30+AF31,2),MOD(AF30+AF31+1,2)),IF(AH30=1,MOD(AF30+AF31+1,2),MOD(AF30+AF31,2)))</f>
        <v>0</v>
      </c>
      <c r="AG33" s="3" t="s">
        <v>37</v>
      </c>
      <c r="AH33" s="3">
        <f t="shared" ref="AH33:AJ33" si="86">IF(NOT(AI30=AI31),IF(AI33=1,MOD(AH30+AH31,2),MOD(AH30+AH31+1,2)),IF(AI30=1,MOD(AH30+AH31+1,2),MOD(AH30+AH31,2)))</f>
        <v>1</v>
      </c>
      <c r="AI33" s="3">
        <f t="shared" si="86"/>
        <v>0</v>
      </c>
      <c r="AJ33" s="3">
        <f t="shared" si="86"/>
        <v>0</v>
      </c>
      <c r="AK33" s="3">
        <f>IF(NOT(AM30=AM31),IF(AM33=1,MOD(AK30+AK31,2),MOD(AK30+AK31+1,2)),IF(AM30=1,MOD(AK30+AK31+1,2),MOD(AK30+AK31,2)))</f>
        <v>1</v>
      </c>
      <c r="AL33" s="3" t="s">
        <v>37</v>
      </c>
      <c r="AM33" s="3">
        <f t="shared" ref="AM33:AO33" si="87">IF(NOT(AN30=AN31),IF(AN33=1,MOD(AM30+AM31,2),MOD(AM30+AM31+1,2)),IF(AN30=1,MOD(AM30+AM31+1,2),MOD(AM30+AM31,2)))</f>
        <v>0</v>
      </c>
      <c r="AN33" s="3">
        <f t="shared" si="87"/>
        <v>0</v>
      </c>
      <c r="AO33" s="3">
        <f t="shared" si="87"/>
        <v>0</v>
      </c>
      <c r="AP33" s="3">
        <f>IF(NOT(AR30=AR31),IF(AR33=1,MOD(AP30+AP31,2),MOD(AP30+AP31+1,2)),IF(AR30=1,MOD(AP30+AP31+1,2),MOD(AP30+AP31,2)))</f>
        <v>0</v>
      </c>
      <c r="AQ33" s="3" t="s">
        <v>37</v>
      </c>
      <c r="AR33" s="3">
        <f t="shared" ref="AR33:BH33" si="88">IF(NOT(AS30=AS31),IF(AS33=1,MOD(AR30+AR31,2),MOD(AR30+AR31+1,2)),IF(AS30=1,MOD(AR30+AR31+1,2),MOD(AR30+AR31,2)))</f>
        <v>0</v>
      </c>
      <c r="AS33" s="3">
        <f t="shared" si="88"/>
        <v>1</v>
      </c>
      <c r="AT33" s="3">
        <f>IF(NOT(AU30=AU31),IF(AU33=1,MOD(AT30+AT31,2),MOD(AT30+AT31+1,2)),IF(AU30=1,MOD(AT30+AT31+1,2),MOD(AT30+AT31,2)))</f>
        <v>0</v>
      </c>
      <c r="AU33" s="3">
        <f>MOD(AU30+AU31,2)</f>
        <v>1</v>
      </c>
      <c r="AV33" s="20" t="s">
        <v>50</v>
      </c>
      <c r="AW33" s="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20" t="s">
        <v>51</v>
      </c>
      <c r="AY33" s="3"/>
      <c r="AZ33" s="21"/>
      <c r="BA33" s="3"/>
      <c r="BB33" s="3">
        <f>BB30+BB31</f>
        <v>10501</v>
      </c>
      <c r="BC33" s="20" t="s">
        <v>51</v>
      </c>
      <c r="BD33" s="3"/>
      <c r="BE33" s="16"/>
      <c r="BF33" s="16"/>
      <c r="BG33" s="16"/>
      <c r="BH33" s="16"/>
      <c r="BI33" s="17"/>
    </row>
    <row r="34" spans="27:61" x14ac:dyDescent="0.2">
      <c r="AA34" s="18"/>
      <c r="AB34" s="22" t="s">
        <v>72</v>
      </c>
      <c r="AC34" s="23"/>
      <c r="AD34" s="3">
        <f t="shared" ref="AD34" si="89">IF(NOT(NOT(AE33)*1=0),IF(AE34=1,MOD(NOT(AD33),2),MOD(NOT(AD33)+1,2)),IF(NOT(AE33)*1=1,MOD(NOT(AD33)+1,2),MOD(NOT(AD33),2)))</f>
        <v>1</v>
      </c>
      <c r="AE34" s="3">
        <f t="shared" ref="AE34" si="90">IF(NOT(NOT(AF33)*1=0),IF(AF34=1,MOD(NOT(AE33),2),MOD(NOT(AE33)+1,2)),IF(NOT(AF33)*1=1,MOD(NOT(AE33)+1,2),MOD(NOT(AE33),2)))</f>
        <v>0</v>
      </c>
      <c r="AF34" s="3">
        <f>IF(NOT(NOT(AH33)*1=0),IF(AH34=1,MOD(NOT(AF33),2),MOD(NOT(AF33)+1,2)),IF(NOT(AH33)*1=1,MOD(NOT(AF33)+1,2),MOD(NOT(AF33),2)))</f>
        <v>1</v>
      </c>
      <c r="AG34" s="3" t="s">
        <v>37</v>
      </c>
      <c r="AH34" s="3">
        <f t="shared" ref="AH34" si="91">IF(NOT(NOT(AI33)*1=0),IF(AI34=1,MOD(NOT(AH33),2),MOD(NOT(AH33)+1,2)),IF(NOT(AI33)*1=1,MOD(NOT(AH33)+1,2),MOD(NOT(AH33),2)))</f>
        <v>0</v>
      </c>
      <c r="AI34" s="3">
        <f t="shared" ref="AI34" si="92">IF(NOT(NOT(AJ33)*1=0),IF(AJ34=1,MOD(NOT(AI33),2),MOD(NOT(AI33)+1,2)),IF(NOT(AJ33)*1=1,MOD(NOT(AI33)+1,2),MOD(NOT(AI33),2)))</f>
        <v>1</v>
      </c>
      <c r="AJ34" s="3">
        <f t="shared" ref="AJ34" si="93">IF(NOT(NOT(AK33)*1=0),IF(AK34=1,MOD(NOT(AJ33),2),MOD(NOT(AJ33)+1,2)),IF(NOT(AK33)*1=1,MOD(NOT(AJ33)+1,2),MOD(NOT(AJ33),2)))</f>
        <v>1</v>
      </c>
      <c r="AK34" s="3">
        <f>IF(NOT(NOT(AM33)*1=0),IF(AM34=1,MOD(NOT(AK33),2),MOD(NOT(AK33)+1,2)),IF(NOT(AM33)*1=1,MOD(NOT(AK33)+1,2),MOD(NOT(AK33),2)))</f>
        <v>0</v>
      </c>
      <c r="AL34" s="3" t="s">
        <v>37</v>
      </c>
      <c r="AM34" s="3">
        <f t="shared" ref="AM34" si="94">IF(NOT(NOT(AN33)*1=0),IF(AN34=1,MOD(NOT(AM33),2),MOD(NOT(AM33)+1,2)),IF(NOT(AN33)*1=1,MOD(NOT(AM33)+1,2),MOD(NOT(AM33),2)))</f>
        <v>1</v>
      </c>
      <c r="AN34" s="3">
        <f t="shared" ref="AN34" si="95">IF(NOT(NOT(AO33)*1=0),IF(AO34=1,MOD(NOT(AN33),2),MOD(NOT(AN33)+1,2)),IF(NOT(AO33)*1=1,MOD(NOT(AN33)+1,2),MOD(NOT(AN33),2)))</f>
        <v>1</v>
      </c>
      <c r="AO34" s="3">
        <f t="shared" ref="AO34" si="96">IF(NOT(NOT(AP33)*1=0),IF(AP34=1,MOD(NOT(AO33),2),MOD(NOT(AO33)+1,2)),IF(NOT(AP33)*1=1,MOD(NOT(AO33)+1,2),MOD(NOT(AO33),2)))</f>
        <v>1</v>
      </c>
      <c r="AP34" s="3">
        <f>IF(NOT(NOT(AR33)*1=0),IF(AR34=1,MOD(NOT(AP33),2),MOD(NOT(AP33)+1,2)),IF(NOT(AR33)*1=1,MOD(NOT(AP33)+1,2),MOD(NOT(AP33),2)))</f>
        <v>1</v>
      </c>
      <c r="AQ34" s="3" t="s">
        <v>37</v>
      </c>
      <c r="AR34" s="3">
        <f t="shared" ref="AR34" si="97">IF(NOT(NOT(AS33)*1=0),IF(AS34=1,MOD(NOT(AR33),2),MOD(NOT(AR33)+1,2)),IF(NOT(AS33)*1=1,MOD(NOT(AR33)+1,2),MOD(NOT(AR33),2)))</f>
        <v>1</v>
      </c>
      <c r="AS34" s="3">
        <f t="shared" ref="AS34" si="98">IF(NOT(NOT(AT33)*1=0),IF(AT34=1,MOD(NOT(AS33),2),MOD(NOT(AS33)+1,2)),IF(NOT(AT33)*1=1,MOD(NOT(AS33)+1,2),MOD(NOT(AS33),2)))</f>
        <v>0</v>
      </c>
      <c r="AT34" s="3">
        <f>IF(NOT(NOT(AU33)*1=0),IF(AU34=1,MOD(NOT(AT33),2),MOD(NOT(AT33)+1,2)),IF(NOT(AU33)*1=1,MOD(NOT(AT33)+1,2),MOD(NOT(AT33),2)))</f>
        <v>1</v>
      </c>
      <c r="AU34" s="3">
        <f>MOD(NOT(AU33)+1,2)</f>
        <v>1</v>
      </c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24"/>
    </row>
    <row r="35" spans="27:61" x14ac:dyDescent="0.2">
      <c r="AA35" s="18"/>
      <c r="AB35" s="3"/>
      <c r="AC35" s="3"/>
      <c r="AD35" s="3"/>
      <c r="AE35" s="3" t="s">
        <v>56</v>
      </c>
      <c r="AF35" s="3">
        <f>IF(NOT(AC30=AC31),IF(AC33=1,0,1),IF(AC30=1,1,0))</f>
        <v>1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24"/>
    </row>
    <row r="36" spans="27:61" x14ac:dyDescent="0.2">
      <c r="AA36" s="18"/>
      <c r="AB36" s="3"/>
      <c r="AC36" s="3"/>
      <c r="AD36" s="3"/>
      <c r="AE36" s="3" t="s">
        <v>57</v>
      </c>
      <c r="AF36" s="3">
        <f>IF(MOD(SUM(AM33:AU33),2)=0,1,0)</f>
        <v>1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24"/>
    </row>
    <row r="37" spans="27:61" x14ac:dyDescent="0.2">
      <c r="AA37" s="18"/>
      <c r="AB37" s="3"/>
      <c r="AC37" s="3"/>
      <c r="AD37" s="3"/>
      <c r="AE37" s="3" t="s">
        <v>58</v>
      </c>
      <c r="AF37" s="3">
        <f>IF(NOT(AS30=AS31),IF(AS33=1,0,1),IF(AS30=1,1,0))</f>
        <v>0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24"/>
    </row>
    <row r="38" spans="27:61" x14ac:dyDescent="0.2">
      <c r="AA38" s="18"/>
      <c r="AB38" s="3"/>
      <c r="AC38" s="3"/>
      <c r="AD38" s="3"/>
      <c r="AE38" s="3" t="s">
        <v>59</v>
      </c>
      <c r="AF38" s="3">
        <f>IF(SUM(AC33:AU33)=0,1,0)</f>
        <v>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24"/>
    </row>
    <row r="39" spans="27:61" x14ac:dyDescent="0.2">
      <c r="AA39" s="18"/>
      <c r="AB39" s="3"/>
      <c r="AC39" s="3"/>
      <c r="AD39" s="3"/>
      <c r="AE39" s="3" t="s">
        <v>60</v>
      </c>
      <c r="AF39" s="3">
        <f>IF(AC33=1,1,0)</f>
        <v>0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24"/>
    </row>
    <row r="40" spans="27:61" ht="17" thickBot="1" x14ac:dyDescent="0.25">
      <c r="AA40" s="25"/>
      <c r="AB40" s="26"/>
      <c r="AC40" s="26"/>
      <c r="AD40" s="26"/>
      <c r="AE40" s="26" t="s">
        <v>61</v>
      </c>
      <c r="AF40" s="26">
        <f>_xlfn.XOR((IF(NOT(AD30=AD31),IF(AD33=1,0,1),IF(AD30=1,1,0))=1),IF(NOT(AC30=AC31),IF(AC33=1,0,1),IF(AC30=1,1,0))=1)*1</f>
        <v>0</v>
      </c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7"/>
    </row>
    <row r="42" spans="27:61" ht="17" thickBot="1" x14ac:dyDescent="0.25"/>
    <row r="43" spans="27:61" ht="18" x14ac:dyDescent="0.25">
      <c r="AA43" s="7"/>
      <c r="AB43" s="8" t="s">
        <v>66</v>
      </c>
      <c r="AC43" s="9">
        <f>G10</f>
        <v>1</v>
      </c>
      <c r="AD43" s="9">
        <f t="shared" ref="AD43:AU43" si="99">H10</f>
        <v>1</v>
      </c>
      <c r="AE43" s="9">
        <f t="shared" si="99"/>
        <v>1</v>
      </c>
      <c r="AF43" s="9">
        <f t="shared" si="99"/>
        <v>0</v>
      </c>
      <c r="AG43" s="9" t="str">
        <f t="shared" si="99"/>
        <v>.</v>
      </c>
      <c r="AH43" s="9">
        <f t="shared" si="99"/>
        <v>1</v>
      </c>
      <c r="AI43" s="9">
        <f t="shared" si="99"/>
        <v>1</v>
      </c>
      <c r="AJ43" s="9">
        <f t="shared" si="99"/>
        <v>1</v>
      </c>
      <c r="AK43" s="9">
        <f t="shared" si="99"/>
        <v>1</v>
      </c>
      <c r="AL43" s="9" t="str">
        <f t="shared" si="99"/>
        <v>.</v>
      </c>
      <c r="AM43" s="9">
        <f t="shared" si="99"/>
        <v>1</v>
      </c>
      <c r="AN43" s="9">
        <f t="shared" si="99"/>
        <v>0</v>
      </c>
      <c r="AO43" s="9">
        <f t="shared" si="99"/>
        <v>0</v>
      </c>
      <c r="AP43" s="9">
        <f t="shared" si="99"/>
        <v>1</v>
      </c>
      <c r="AQ43" s="9" t="str">
        <f t="shared" si="99"/>
        <v>.</v>
      </c>
      <c r="AR43" s="9">
        <f t="shared" si="99"/>
        <v>0</v>
      </c>
      <c r="AS43" s="9">
        <f t="shared" si="99"/>
        <v>0</v>
      </c>
      <c r="AT43" s="9">
        <f t="shared" si="99"/>
        <v>0</v>
      </c>
      <c r="AU43" s="9">
        <f t="shared" si="99"/>
        <v>1</v>
      </c>
      <c r="AV43" s="9"/>
      <c r="AW43" s="9"/>
      <c r="AX43" s="9"/>
      <c r="AY43" s="9"/>
      <c r="AZ43" s="10" t="s">
        <v>69</v>
      </c>
      <c r="BA43" s="9"/>
      <c r="BB43" s="9">
        <f>C10</f>
        <v>-4207</v>
      </c>
      <c r="BC43" s="9"/>
      <c r="BD43" s="9"/>
      <c r="BE43" s="11" t="s">
        <v>78</v>
      </c>
      <c r="BF43" s="11"/>
      <c r="BG43" s="11"/>
      <c r="BH43" s="11"/>
      <c r="BI43" s="12"/>
    </row>
    <row r="44" spans="27:61" ht="18" x14ac:dyDescent="0.25">
      <c r="AA44" s="13" t="s">
        <v>46</v>
      </c>
      <c r="AB44" s="14" t="s">
        <v>68</v>
      </c>
      <c r="AC44" s="3">
        <f>G11</f>
        <v>1</v>
      </c>
      <c r="AD44" s="3">
        <f t="shared" ref="AD44:AU44" si="100">H11</f>
        <v>1</v>
      </c>
      <c r="AE44" s="3">
        <f t="shared" si="100"/>
        <v>0</v>
      </c>
      <c r="AF44" s="3">
        <f t="shared" si="100"/>
        <v>0</v>
      </c>
      <c r="AG44" s="3" t="str">
        <f t="shared" si="100"/>
        <v>.</v>
      </c>
      <c r="AH44" s="3">
        <f t="shared" si="100"/>
        <v>0</v>
      </c>
      <c r="AI44" s="3">
        <f t="shared" si="100"/>
        <v>1</v>
      </c>
      <c r="AJ44" s="3">
        <f t="shared" si="100"/>
        <v>1</v>
      </c>
      <c r="AK44" s="3">
        <f t="shared" si="100"/>
        <v>0</v>
      </c>
      <c r="AL44" s="3" t="str">
        <f t="shared" si="100"/>
        <v>.</v>
      </c>
      <c r="AM44" s="3">
        <f t="shared" si="100"/>
        <v>1</v>
      </c>
      <c r="AN44" s="3">
        <f t="shared" si="100"/>
        <v>0</v>
      </c>
      <c r="AO44" s="3">
        <f t="shared" si="100"/>
        <v>0</v>
      </c>
      <c r="AP44" s="3">
        <f t="shared" si="100"/>
        <v>0</v>
      </c>
      <c r="AQ44" s="3" t="str">
        <f t="shared" si="100"/>
        <v>.</v>
      </c>
      <c r="AR44" s="3">
        <f t="shared" si="100"/>
        <v>1</v>
      </c>
      <c r="AS44" s="3">
        <f t="shared" si="100"/>
        <v>1</v>
      </c>
      <c r="AT44" s="3">
        <f t="shared" si="100"/>
        <v>0</v>
      </c>
      <c r="AU44" s="3">
        <f t="shared" si="100"/>
        <v>0</v>
      </c>
      <c r="AV44" s="3"/>
      <c r="AW44" s="3"/>
      <c r="AX44" s="3"/>
      <c r="AY44" s="14" t="s">
        <v>46</v>
      </c>
      <c r="AZ44" s="15" t="s">
        <v>70</v>
      </c>
      <c r="BA44" s="3"/>
      <c r="BB44" s="3">
        <f>C11</f>
        <v>-14708</v>
      </c>
      <c r="BC44" s="3"/>
      <c r="BD44" s="3"/>
      <c r="BE44" s="16"/>
      <c r="BF44" s="16"/>
      <c r="BG44" s="16"/>
      <c r="BH44" s="16"/>
      <c r="BI44" s="17"/>
    </row>
    <row r="45" spans="27:61" x14ac:dyDescent="0.2">
      <c r="AA45" s="18"/>
      <c r="AB45" s="19" t="s">
        <v>49</v>
      </c>
      <c r="AC45" s="19" t="s">
        <v>48</v>
      </c>
      <c r="AD45" s="19" t="s">
        <v>48</v>
      </c>
      <c r="AE45" s="19" t="s">
        <v>48</v>
      </c>
      <c r="AF45" s="19" t="s">
        <v>48</v>
      </c>
      <c r="AG45" s="19" t="s">
        <v>48</v>
      </c>
      <c r="AH45" s="19" t="s">
        <v>48</v>
      </c>
      <c r="AI45" s="19" t="s">
        <v>48</v>
      </c>
      <c r="AJ45" s="19" t="s">
        <v>48</v>
      </c>
      <c r="AK45" s="19" t="s">
        <v>48</v>
      </c>
      <c r="AL45" s="19" t="s">
        <v>48</v>
      </c>
      <c r="AM45" s="19" t="s">
        <v>48</v>
      </c>
      <c r="AN45" s="19" t="s">
        <v>48</v>
      </c>
      <c r="AO45" s="19" t="s">
        <v>48</v>
      </c>
      <c r="AP45" s="19" t="s">
        <v>48</v>
      </c>
      <c r="AQ45" s="19" t="s">
        <v>48</v>
      </c>
      <c r="AR45" s="19" t="s">
        <v>48</v>
      </c>
      <c r="AS45" s="19" t="s">
        <v>48</v>
      </c>
      <c r="AT45" s="19" t="s">
        <v>48</v>
      </c>
      <c r="AU45" s="19" t="s">
        <v>48</v>
      </c>
      <c r="AV45" s="3"/>
      <c r="AW45" s="3"/>
      <c r="AX45" s="3"/>
      <c r="AY45" s="14" t="s">
        <v>54</v>
      </c>
      <c r="AZ45" s="15" t="s">
        <v>47</v>
      </c>
      <c r="BA45" s="14" t="s">
        <v>48</v>
      </c>
      <c r="BB45" s="14" t="s">
        <v>55</v>
      </c>
      <c r="BC45" s="3"/>
      <c r="BD45" s="3"/>
      <c r="BE45" s="16"/>
      <c r="BF45" s="16"/>
      <c r="BG45" s="16"/>
      <c r="BH45" s="16"/>
      <c r="BI45" s="17"/>
    </row>
    <row r="46" spans="27:61" ht="18" x14ac:dyDescent="0.25">
      <c r="AA46" s="18"/>
      <c r="AB46" s="15" t="s">
        <v>54</v>
      </c>
      <c r="AC46" s="3">
        <f t="shared" ref="AC46:AE46" si="101">IF(NOT(AD43=AD44),IF(AD46=1,MOD(AC43+AC44,2),MOD(AC43+AC44+1,2)),IF(AD43=1,MOD(AC43+AC44+1,2),MOD(AC43+AC44,2)))</f>
        <v>1</v>
      </c>
      <c r="AD46" s="3">
        <f t="shared" si="101"/>
        <v>0</v>
      </c>
      <c r="AE46" s="3">
        <f t="shared" si="101"/>
        <v>1</v>
      </c>
      <c r="AF46" s="3">
        <f>IF(NOT(AH43=AH44),IF(AH46=1,MOD(AF43+AF44,2),MOD(AF43+AF44+1,2)),IF(AH43=1,MOD(AF43+AF44+1,2),MOD(AF43+AF44,2)))</f>
        <v>1</v>
      </c>
      <c r="AG46" s="3" t="s">
        <v>37</v>
      </c>
      <c r="AH46" s="3">
        <f t="shared" ref="AH46:AJ46" si="102">IF(NOT(AI43=AI44),IF(AI46=1,MOD(AH43+AH44,2),MOD(AH43+AH44+1,2)),IF(AI43=1,MOD(AH43+AH44+1,2),MOD(AH43+AH44,2)))</f>
        <v>0</v>
      </c>
      <c r="AI46" s="3">
        <f t="shared" si="102"/>
        <v>1</v>
      </c>
      <c r="AJ46" s="3">
        <f t="shared" si="102"/>
        <v>1</v>
      </c>
      <c r="AK46" s="3">
        <f>IF(NOT(AM43=AM44),IF(AM46=1,MOD(AK43+AK44,2),MOD(AK43+AK44+1,2)),IF(AM43=1,MOD(AK43+AK44+1,2),MOD(AK43+AK44,2)))</f>
        <v>0</v>
      </c>
      <c r="AL46" s="3" t="s">
        <v>37</v>
      </c>
      <c r="AM46" s="3">
        <f t="shared" ref="AM46:AO46" si="103">IF(NOT(AN43=AN44),IF(AN46=1,MOD(AM43+AM44,2),MOD(AM43+AM44+1,2)),IF(AN43=1,MOD(AM43+AM44+1,2),MOD(AM43+AM44,2)))</f>
        <v>0</v>
      </c>
      <c r="AN46" s="3">
        <f t="shared" si="103"/>
        <v>0</v>
      </c>
      <c r="AO46" s="3">
        <f t="shared" si="103"/>
        <v>0</v>
      </c>
      <c r="AP46" s="3">
        <f>IF(NOT(AR43=AR44),IF(AR46=1,MOD(AP43+AP44,2),MOD(AP43+AP44+1,2)),IF(AR43=1,MOD(AP43+AP44+1,2),MOD(AP43+AP44,2)))</f>
        <v>1</v>
      </c>
      <c r="AQ46" s="3" t="s">
        <v>37</v>
      </c>
      <c r="AR46" s="3">
        <f t="shared" ref="AR46:BH46" si="104">IF(NOT(AS43=AS44),IF(AS46=1,MOD(AR43+AR44,2),MOD(AR43+AR44+1,2)),IF(AS43=1,MOD(AR43+AR44+1,2),MOD(AR43+AR44,2)))</f>
        <v>1</v>
      </c>
      <c r="AS46" s="3">
        <f t="shared" si="104"/>
        <v>1</v>
      </c>
      <c r="AT46" s="3">
        <f>IF(NOT(AU43=AU44),IF(AU46=1,MOD(AT43+AT44,2),MOD(AT43+AT44+1,2)),IF(AU43=1,MOD(AT43+AT44+1,2),MOD(AT43+AT44,2)))</f>
        <v>0</v>
      </c>
      <c r="AU46" s="3">
        <f>MOD(AU43+AU44,2)</f>
        <v>1</v>
      </c>
      <c r="AV46" s="20" t="s">
        <v>50</v>
      </c>
      <c r="AW46" s="3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20" t="s">
        <v>51</v>
      </c>
      <c r="AY46" s="3"/>
      <c r="AZ46" s="21"/>
      <c r="BA46" s="3"/>
      <c r="BB46" s="3">
        <f>BB43+BB44</f>
        <v>-18915</v>
      </c>
      <c r="BC46" s="20" t="s">
        <v>51</v>
      </c>
      <c r="BD46" s="3"/>
      <c r="BE46" s="16"/>
      <c r="BF46" s="16"/>
      <c r="BG46" s="16"/>
      <c r="BH46" s="16"/>
      <c r="BI46" s="17"/>
    </row>
    <row r="47" spans="27:61" x14ac:dyDescent="0.2">
      <c r="AA47" s="18"/>
      <c r="AB47" s="22" t="s">
        <v>72</v>
      </c>
      <c r="AC47" s="23"/>
      <c r="AD47" s="3">
        <f t="shared" ref="AD47:AE47" si="105">IF(NOT(NOT(AE46)*1=0),IF(AE47=1,MOD(NOT(AD46),2),MOD(NOT(AD46)+1,2)),IF(NOT(AE46)*1=1,MOD(NOT(AD46)+1,2),MOD(NOT(AD46),2)))</f>
        <v>1</v>
      </c>
      <c r="AE47" s="3">
        <f t="shared" si="105"/>
        <v>0</v>
      </c>
      <c r="AF47" s="3">
        <f>IF(NOT(NOT(AH46)*1=0),IF(AH47=1,MOD(NOT(AF46),2),MOD(NOT(AF46)+1,2)),IF(NOT(AH46)*1=1,MOD(NOT(AF46)+1,2),MOD(NOT(AF46),2)))</f>
        <v>0</v>
      </c>
      <c r="AG47" s="3" t="s">
        <v>37</v>
      </c>
      <c r="AH47" s="3">
        <f t="shared" ref="AH47" si="106">IF(NOT(NOT(AI46)*1=0),IF(AI47=1,MOD(NOT(AH46),2),MOD(NOT(AH46)+1,2)),IF(NOT(AI46)*1=1,MOD(NOT(AH46)+1,2),MOD(NOT(AH46),2)))</f>
        <v>1</v>
      </c>
      <c r="AI47" s="3">
        <f t="shared" ref="AI47" si="107">IF(NOT(NOT(AJ46)*1=0),IF(AJ47=1,MOD(NOT(AI46),2),MOD(NOT(AI46)+1,2)),IF(NOT(AJ46)*1=1,MOD(NOT(AI46)+1,2),MOD(NOT(AI46),2)))</f>
        <v>0</v>
      </c>
      <c r="AJ47" s="3">
        <f t="shared" ref="AJ47" si="108">IF(NOT(NOT(AK46)*1=0),IF(AK47=1,MOD(NOT(AJ46),2),MOD(NOT(AJ46)+1,2)),IF(NOT(AK46)*1=1,MOD(NOT(AJ46)+1,2),MOD(NOT(AJ46),2)))</f>
        <v>0</v>
      </c>
      <c r="AK47" s="3">
        <f>IF(NOT(NOT(AM46)*1=0),IF(AM47=1,MOD(NOT(AK46),2),MOD(NOT(AK46)+1,2)),IF(NOT(AM46)*1=1,MOD(NOT(AK46)+1,2),MOD(NOT(AK46),2)))</f>
        <v>1</v>
      </c>
      <c r="AL47" s="3" t="s">
        <v>37</v>
      </c>
      <c r="AM47" s="3">
        <f t="shared" ref="AM47" si="109">IF(NOT(NOT(AN46)*1=0),IF(AN47=1,MOD(NOT(AM46),2),MOD(NOT(AM46)+1,2)),IF(NOT(AN46)*1=1,MOD(NOT(AM46)+1,2),MOD(NOT(AM46),2)))</f>
        <v>1</v>
      </c>
      <c r="AN47" s="3">
        <f t="shared" ref="AN47" si="110">IF(NOT(NOT(AO46)*1=0),IF(AO47=1,MOD(NOT(AN46),2),MOD(NOT(AN46)+1,2)),IF(NOT(AO46)*1=1,MOD(NOT(AN46)+1,2),MOD(NOT(AN46),2)))</f>
        <v>1</v>
      </c>
      <c r="AO47" s="3">
        <f t="shared" ref="AO47:AS47" si="111">IF(NOT(NOT(AP46)*1=0),IF(AP47=1,MOD(NOT(AO46),2),MOD(NOT(AO46)+1,2)),IF(NOT(AP46)*1=1,MOD(NOT(AO46)+1,2),MOD(NOT(AO46),2)))</f>
        <v>1</v>
      </c>
      <c r="AP47" s="3">
        <f>IF(NOT(NOT(AR46)*1=0),IF(AR47=1,MOD(NOT(AP46),2),MOD(NOT(AP46)+1,2)),IF(NOT(AR46)*1=1,MOD(NOT(AP46)+1,2),MOD(NOT(AP46),2)))</f>
        <v>0</v>
      </c>
      <c r="AQ47" s="3" t="s">
        <v>37</v>
      </c>
      <c r="AR47" s="3">
        <f t="shared" si="111"/>
        <v>0</v>
      </c>
      <c r="AS47" s="3">
        <f t="shared" si="111"/>
        <v>0</v>
      </c>
      <c r="AT47" s="3">
        <f>IF(NOT(NOT(AU46)*1=0),IF(AU47=1,MOD(NOT(AT46),2),MOD(NOT(AT46)+1,2)),IF(NOT(AU46)*1=1,MOD(NOT(AT46)+1,2),MOD(NOT(AT46),2)))</f>
        <v>1</v>
      </c>
      <c r="AU47" s="3">
        <f>MOD(NOT(AU46)+1,2)</f>
        <v>1</v>
      </c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24"/>
    </row>
    <row r="48" spans="27:61" x14ac:dyDescent="0.2">
      <c r="AA48" s="18"/>
      <c r="AB48" s="3"/>
      <c r="AC48" s="3"/>
      <c r="AD48" s="3"/>
      <c r="AE48" s="3" t="s">
        <v>56</v>
      </c>
      <c r="AF48" s="3">
        <f>IF(NOT(AC43=AC44),IF(AC46=1,0,1),IF(AC43=1,1,0))</f>
        <v>1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24"/>
    </row>
    <row r="49" spans="27:61" x14ac:dyDescent="0.2">
      <c r="AA49" s="18"/>
      <c r="AB49" s="3"/>
      <c r="AC49" s="3"/>
      <c r="AD49" s="3"/>
      <c r="AE49" s="3" t="s">
        <v>57</v>
      </c>
      <c r="AF49" s="3">
        <f>IF(MOD(SUM(AM46:AU46),2)=0,1,0)</f>
        <v>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24"/>
    </row>
    <row r="50" spans="27:61" x14ac:dyDescent="0.2">
      <c r="AA50" s="18"/>
      <c r="AB50" s="3"/>
      <c r="AC50" s="3"/>
      <c r="AD50" s="3"/>
      <c r="AE50" s="3" t="s">
        <v>58</v>
      </c>
      <c r="AF50" s="3">
        <f>IF(NOT(AS43=AS44),IF(AS46=1,0,1),IF(AS43=1,1,0))</f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24"/>
    </row>
    <row r="51" spans="27:61" x14ac:dyDescent="0.2">
      <c r="AA51" s="18"/>
      <c r="AB51" s="3"/>
      <c r="AC51" s="3"/>
      <c r="AD51" s="3"/>
      <c r="AE51" s="3" t="s">
        <v>59</v>
      </c>
      <c r="AF51" s="3">
        <f>IF(SUM(AC46:AU46)=0,1,0)</f>
        <v>0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24"/>
    </row>
    <row r="52" spans="27:61" x14ac:dyDescent="0.2">
      <c r="AA52" s="18"/>
      <c r="AB52" s="3"/>
      <c r="AC52" s="3"/>
      <c r="AD52" s="3"/>
      <c r="AE52" s="3" t="s">
        <v>60</v>
      </c>
      <c r="AF52" s="3">
        <f>IF(AC46=1,1,0)</f>
        <v>1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24"/>
    </row>
    <row r="53" spans="27:61" ht="17" thickBot="1" x14ac:dyDescent="0.25">
      <c r="AA53" s="25"/>
      <c r="AB53" s="26"/>
      <c r="AC53" s="26"/>
      <c r="AD53" s="26"/>
      <c r="AE53" s="26" t="s">
        <v>61</v>
      </c>
      <c r="AF53" s="26">
        <f>_xlfn.XOR((IF(NOT(AD43=AD44),IF(AD46=1,0,1),IF(AD43=1,1,0))=1),IF(NOT(AC43=AC44),IF(AC46=1,0,1),IF(AC43=1,1,0))=1)*1</f>
        <v>0</v>
      </c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 t="s">
        <v>71</v>
      </c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7"/>
    </row>
    <row r="55" spans="27:61" ht="17" thickBot="1" x14ac:dyDescent="0.25"/>
    <row r="56" spans="27:61" ht="18" x14ac:dyDescent="0.25">
      <c r="AA56" s="7"/>
      <c r="AB56" s="8" t="s">
        <v>68</v>
      </c>
      <c r="AC56" s="9">
        <f>G11</f>
        <v>1</v>
      </c>
      <c r="AD56" s="9">
        <f t="shared" ref="AD56:AU56" si="112">H11</f>
        <v>1</v>
      </c>
      <c r="AE56" s="9">
        <f t="shared" si="112"/>
        <v>0</v>
      </c>
      <c r="AF56" s="9">
        <f t="shared" si="112"/>
        <v>0</v>
      </c>
      <c r="AG56" s="9" t="str">
        <f t="shared" si="112"/>
        <v>.</v>
      </c>
      <c r="AH56" s="9">
        <f t="shared" si="112"/>
        <v>0</v>
      </c>
      <c r="AI56" s="9">
        <f t="shared" si="112"/>
        <v>1</v>
      </c>
      <c r="AJ56" s="9">
        <f t="shared" si="112"/>
        <v>1</v>
      </c>
      <c r="AK56" s="9">
        <f t="shared" si="112"/>
        <v>0</v>
      </c>
      <c r="AL56" s="9" t="str">
        <f t="shared" si="112"/>
        <v>.</v>
      </c>
      <c r="AM56" s="9">
        <f t="shared" si="112"/>
        <v>1</v>
      </c>
      <c r="AN56" s="9">
        <f t="shared" si="112"/>
        <v>0</v>
      </c>
      <c r="AO56" s="9">
        <f t="shared" si="112"/>
        <v>0</v>
      </c>
      <c r="AP56" s="9">
        <f t="shared" si="112"/>
        <v>0</v>
      </c>
      <c r="AQ56" s="9" t="str">
        <f t="shared" si="112"/>
        <v>.</v>
      </c>
      <c r="AR56" s="9">
        <f t="shared" si="112"/>
        <v>1</v>
      </c>
      <c r="AS56" s="9">
        <f t="shared" si="112"/>
        <v>1</v>
      </c>
      <c r="AT56" s="9">
        <f t="shared" si="112"/>
        <v>0</v>
      </c>
      <c r="AU56" s="9">
        <f t="shared" si="112"/>
        <v>0</v>
      </c>
      <c r="AV56" s="9"/>
      <c r="AW56" s="9"/>
      <c r="AX56" s="9"/>
      <c r="AY56" s="9"/>
      <c r="AZ56" s="10" t="s">
        <v>75</v>
      </c>
      <c r="BA56" s="9"/>
      <c r="BB56" s="9">
        <f>C11</f>
        <v>-14708</v>
      </c>
      <c r="BC56" s="9"/>
      <c r="BD56" s="9"/>
      <c r="BE56" s="11" t="s">
        <v>79</v>
      </c>
      <c r="BF56" s="11"/>
      <c r="BG56" s="11"/>
      <c r="BH56" s="11"/>
      <c r="BI56" s="12"/>
    </row>
    <row r="57" spans="27:61" ht="18" x14ac:dyDescent="0.25">
      <c r="AA57" s="13" t="s">
        <v>46</v>
      </c>
      <c r="AB57" s="14" t="s">
        <v>74</v>
      </c>
      <c r="AC57" s="3">
        <f>G12</f>
        <v>1</v>
      </c>
      <c r="AD57" s="3">
        <f t="shared" ref="AD57:AU57" si="113">H12</f>
        <v>0</v>
      </c>
      <c r="AE57" s="3">
        <f t="shared" si="113"/>
        <v>1</v>
      </c>
      <c r="AF57" s="3">
        <f t="shared" si="113"/>
        <v>1</v>
      </c>
      <c r="AG57" s="3" t="str">
        <f t="shared" si="113"/>
        <v>.</v>
      </c>
      <c r="AH57" s="3">
        <f t="shared" si="113"/>
        <v>0</v>
      </c>
      <c r="AI57" s="3">
        <f t="shared" si="113"/>
        <v>1</v>
      </c>
      <c r="AJ57" s="3">
        <f t="shared" si="113"/>
        <v>1</v>
      </c>
      <c r="AK57" s="3">
        <f t="shared" si="113"/>
        <v>0</v>
      </c>
      <c r="AL57" s="3" t="str">
        <f t="shared" si="113"/>
        <v>.</v>
      </c>
      <c r="AM57" s="3">
        <f t="shared" si="113"/>
        <v>0</v>
      </c>
      <c r="AN57" s="3">
        <f t="shared" si="113"/>
        <v>0</v>
      </c>
      <c r="AO57" s="3">
        <f t="shared" si="113"/>
        <v>0</v>
      </c>
      <c r="AP57" s="3">
        <f t="shared" si="113"/>
        <v>1</v>
      </c>
      <c r="AQ57" s="3" t="str">
        <f t="shared" si="113"/>
        <v>.</v>
      </c>
      <c r="AR57" s="3">
        <f t="shared" si="113"/>
        <v>1</v>
      </c>
      <c r="AS57" s="3">
        <f t="shared" si="113"/>
        <v>1</v>
      </c>
      <c r="AT57" s="3">
        <f t="shared" si="113"/>
        <v>0</v>
      </c>
      <c r="AU57" s="3">
        <f t="shared" si="113"/>
        <v>1</v>
      </c>
      <c r="AV57" s="3"/>
      <c r="AW57" s="3"/>
      <c r="AX57" s="3"/>
      <c r="AY57" s="14" t="s">
        <v>46</v>
      </c>
      <c r="AZ57" s="15" t="s">
        <v>76</v>
      </c>
      <c r="BA57" s="3"/>
      <c r="BB57" s="3">
        <f>C12</f>
        <v>-18915</v>
      </c>
      <c r="BC57" s="3"/>
      <c r="BD57" s="3"/>
      <c r="BE57" s="16"/>
      <c r="BF57" s="16"/>
      <c r="BG57" s="16"/>
      <c r="BH57" s="16"/>
      <c r="BI57" s="17"/>
    </row>
    <row r="58" spans="27:61" x14ac:dyDescent="0.2">
      <c r="AA58" s="18"/>
      <c r="AB58" s="19" t="s">
        <v>49</v>
      </c>
      <c r="AC58" s="19" t="s">
        <v>48</v>
      </c>
      <c r="AD58" s="19" t="s">
        <v>48</v>
      </c>
      <c r="AE58" s="19" t="s">
        <v>48</v>
      </c>
      <c r="AF58" s="19" t="s">
        <v>48</v>
      </c>
      <c r="AG58" s="19" t="s">
        <v>48</v>
      </c>
      <c r="AH58" s="19" t="s">
        <v>48</v>
      </c>
      <c r="AI58" s="19" t="s">
        <v>48</v>
      </c>
      <c r="AJ58" s="19" t="s">
        <v>48</v>
      </c>
      <c r="AK58" s="19" t="s">
        <v>48</v>
      </c>
      <c r="AL58" s="19" t="s">
        <v>48</v>
      </c>
      <c r="AM58" s="19" t="s">
        <v>48</v>
      </c>
      <c r="AN58" s="19" t="s">
        <v>48</v>
      </c>
      <c r="AO58" s="19" t="s">
        <v>48</v>
      </c>
      <c r="AP58" s="19" t="s">
        <v>48</v>
      </c>
      <c r="AQ58" s="19" t="s">
        <v>48</v>
      </c>
      <c r="AR58" s="19" t="s">
        <v>48</v>
      </c>
      <c r="AS58" s="19" t="s">
        <v>48</v>
      </c>
      <c r="AT58" s="19" t="s">
        <v>48</v>
      </c>
      <c r="AU58" s="19" t="s">
        <v>48</v>
      </c>
      <c r="AV58" s="3"/>
      <c r="AW58" s="3"/>
      <c r="AX58" s="3"/>
      <c r="AY58" s="14" t="s">
        <v>54</v>
      </c>
      <c r="AZ58" s="15" t="s">
        <v>47</v>
      </c>
      <c r="BA58" s="14" t="s">
        <v>48</v>
      </c>
      <c r="BB58" s="14" t="s">
        <v>55</v>
      </c>
      <c r="BC58" s="3"/>
      <c r="BD58" s="3"/>
      <c r="BE58" s="16"/>
      <c r="BF58" s="16"/>
      <c r="BG58" s="16"/>
      <c r="BH58" s="16"/>
      <c r="BI58" s="17"/>
    </row>
    <row r="59" spans="27:61" ht="18" x14ac:dyDescent="0.25">
      <c r="AA59" s="18"/>
      <c r="AB59" s="15" t="s">
        <v>54</v>
      </c>
      <c r="AC59" s="3">
        <f t="shared" ref="AC59:AE59" si="114">IF(NOT(AD56=AD57),IF(AD59=1,MOD(AC56+AC57,2),MOD(AC56+AC57+1,2)),IF(AD56=1,MOD(AC56+AC57+1,2),MOD(AC56+AC57,2)))</f>
        <v>0</v>
      </c>
      <c r="AD59" s="3">
        <f t="shared" si="114"/>
        <v>1</v>
      </c>
      <c r="AE59" s="3">
        <f t="shared" si="114"/>
        <v>1</v>
      </c>
      <c r="AF59" s="3">
        <f>IF(NOT(AH56=AH57),IF(AH59=1,MOD(AF56+AF57,2),MOD(AF56+AF57+1,2)),IF(AH56=1,MOD(AF56+AF57+1,2),MOD(AF56+AF57,2)))</f>
        <v>1</v>
      </c>
      <c r="AG59" s="3" t="s">
        <v>37</v>
      </c>
      <c r="AH59" s="3">
        <f t="shared" ref="AH59:AJ59" si="115">IF(NOT(AI56=AI57),IF(AI59=1,MOD(AH56+AH57,2),MOD(AH56+AH57+1,2)),IF(AI56=1,MOD(AH56+AH57+1,2),MOD(AH56+AH57,2)))</f>
        <v>1</v>
      </c>
      <c r="AI59" s="3">
        <f t="shared" si="115"/>
        <v>1</v>
      </c>
      <c r="AJ59" s="3">
        <f t="shared" si="115"/>
        <v>0</v>
      </c>
      <c r="AK59" s="3">
        <f>IF(NOT(AM56=AM57),IF(AM59=1,MOD(AK56+AK57,2),MOD(AK56+AK57+1,2)),IF(AM56=1,MOD(AK56+AK57+1,2),MOD(AK56+AK57,2)))</f>
        <v>0</v>
      </c>
      <c r="AL59" s="3" t="s">
        <v>37</v>
      </c>
      <c r="AM59" s="3">
        <f t="shared" ref="AM59:AO59" si="116">IF(NOT(AN56=AN57),IF(AN59=1,MOD(AM56+AM57,2),MOD(AM56+AM57+1,2)),IF(AN56=1,MOD(AM56+AM57+1,2),MOD(AM56+AM57,2)))</f>
        <v>1</v>
      </c>
      <c r="AN59" s="3">
        <f t="shared" si="116"/>
        <v>0</v>
      </c>
      <c r="AO59" s="3">
        <f t="shared" si="116"/>
        <v>1</v>
      </c>
      <c r="AP59" s="3">
        <f>IF(NOT(AR56=AR57),IF(AR59=1,MOD(AP56+AP57,2),MOD(AP56+AP57+1,2)),IF(AR56=1,MOD(AP56+AP57+1,2),MOD(AP56+AP57,2)))</f>
        <v>0</v>
      </c>
      <c r="AQ59" s="3" t="s">
        <v>37</v>
      </c>
      <c r="AR59" s="3">
        <f t="shared" ref="AR59:BH59" si="117">IF(NOT(AS56=AS57),IF(AS59=1,MOD(AR56+AR57,2),MOD(AR56+AR57+1,2)),IF(AS56=1,MOD(AR56+AR57+1,2),MOD(AR56+AR57,2)))</f>
        <v>1</v>
      </c>
      <c r="AS59" s="3">
        <f t="shared" si="117"/>
        <v>0</v>
      </c>
      <c r="AT59" s="3">
        <f>IF(NOT(AU56=AU57),IF(AU59=1,MOD(AT56+AT57,2),MOD(AT56+AT57+1,2)),IF(AU56=1,MOD(AT56+AT57+1,2),MOD(AT56+AT57,2)))</f>
        <v>0</v>
      </c>
      <c r="AU59" s="3">
        <f>MOD(AU56+AU57,2)</f>
        <v>1</v>
      </c>
      <c r="AV59" s="20" t="s">
        <v>50</v>
      </c>
      <c r="AW59" s="3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20" t="s">
        <v>51</v>
      </c>
      <c r="AY59" s="3"/>
      <c r="AZ59" s="21"/>
      <c r="BA59" s="3"/>
      <c r="BB59" s="3">
        <f>BB56+BB57</f>
        <v>-33623</v>
      </c>
      <c r="BC59" s="20" t="s">
        <v>51</v>
      </c>
      <c r="BD59" s="3"/>
      <c r="BE59" s="16"/>
      <c r="BF59" s="16"/>
      <c r="BG59" s="16"/>
      <c r="BH59" s="16"/>
      <c r="BI59" s="17"/>
    </row>
    <row r="60" spans="27:61" x14ac:dyDescent="0.2">
      <c r="AA60" s="18"/>
      <c r="AB60" s="22" t="s">
        <v>72</v>
      </c>
      <c r="AC60" s="23"/>
      <c r="AD60" s="3">
        <f t="shared" ref="AD60" si="118">IF(NOT(NOT(AE59)*1=0),IF(AE60=1,MOD(NOT(AD59),2),MOD(NOT(AD59)+1,2)),IF(NOT(AE59)*1=1,MOD(NOT(AD59)+1,2),MOD(NOT(AD59),2)))</f>
        <v>0</v>
      </c>
      <c r="AE60" s="3">
        <f t="shared" ref="AE60" si="119">IF(NOT(NOT(AF59)*1=0),IF(AF60=1,MOD(NOT(AE59),2),MOD(NOT(AE59)+1,2)),IF(NOT(AF59)*1=1,MOD(NOT(AE59)+1,2),MOD(NOT(AE59),2)))</f>
        <v>0</v>
      </c>
      <c r="AF60" s="3">
        <f>IF(NOT(NOT(AH59)*1=0),IF(AH60=1,MOD(NOT(AF59),2),MOD(NOT(AF59)+1,2)),IF(NOT(AH59)*1=1,MOD(NOT(AF59)+1,2),MOD(NOT(AF59),2)))</f>
        <v>0</v>
      </c>
      <c r="AG60" s="3" t="s">
        <v>37</v>
      </c>
      <c r="AH60" s="3">
        <f t="shared" ref="AH60" si="120">IF(NOT(NOT(AI59)*1=0),IF(AI60=1,MOD(NOT(AH59),2),MOD(NOT(AH59)+1,2)),IF(NOT(AI59)*1=1,MOD(NOT(AH59)+1,2),MOD(NOT(AH59),2)))</f>
        <v>0</v>
      </c>
      <c r="AI60" s="3">
        <f t="shared" ref="AI60" si="121">IF(NOT(NOT(AJ59)*1=0),IF(AJ60=1,MOD(NOT(AI59),2),MOD(NOT(AI59)+1,2)),IF(NOT(AJ59)*1=1,MOD(NOT(AI59)+1,2),MOD(NOT(AI59),2)))</f>
        <v>0</v>
      </c>
      <c r="AJ60" s="3">
        <f t="shared" ref="AJ60" si="122">IF(NOT(NOT(AK59)*1=0),IF(AK60=1,MOD(NOT(AJ59),2),MOD(NOT(AJ59)+1,2)),IF(NOT(AK59)*1=1,MOD(NOT(AJ59)+1,2),MOD(NOT(AJ59),2)))</f>
        <v>1</v>
      </c>
      <c r="AK60" s="3">
        <f>IF(NOT(NOT(AM59)*1=0),IF(AM60=1,MOD(NOT(AK59),2),MOD(NOT(AK59)+1,2)),IF(NOT(AM59)*1=1,MOD(NOT(AK59)+1,2),MOD(NOT(AK59),2)))</f>
        <v>1</v>
      </c>
      <c r="AL60" s="3" t="s">
        <v>37</v>
      </c>
      <c r="AM60" s="3">
        <f t="shared" ref="AM60" si="123">IF(NOT(NOT(AN59)*1=0),IF(AN60=1,MOD(NOT(AM59),2),MOD(NOT(AM59)+1,2)),IF(NOT(AN59)*1=1,MOD(NOT(AM59)+1,2),MOD(NOT(AM59),2)))</f>
        <v>0</v>
      </c>
      <c r="AN60" s="3">
        <f t="shared" ref="AN60" si="124">IF(NOT(NOT(AO59)*1=0),IF(AO60=1,MOD(NOT(AN59),2),MOD(NOT(AN59)+1,2)),IF(NOT(AO59)*1=1,MOD(NOT(AN59)+1,2),MOD(NOT(AN59),2)))</f>
        <v>1</v>
      </c>
      <c r="AO60" s="3">
        <f t="shared" ref="AO60" si="125">IF(NOT(NOT(AP59)*1=0),IF(AP60=1,MOD(NOT(AO59),2),MOD(NOT(AO59)+1,2)),IF(NOT(AP59)*1=1,MOD(NOT(AO59)+1,2),MOD(NOT(AO59),2)))</f>
        <v>0</v>
      </c>
      <c r="AP60" s="3">
        <f>IF(NOT(NOT(AR59)*1=0),IF(AR60=1,MOD(NOT(AP59),2),MOD(NOT(AP59)+1,2)),IF(NOT(AR59)*1=1,MOD(NOT(AP59)+1,2),MOD(NOT(AP59),2)))</f>
        <v>1</v>
      </c>
      <c r="AQ60" s="3" t="s">
        <v>37</v>
      </c>
      <c r="AR60" s="3">
        <f t="shared" ref="AR60" si="126">IF(NOT(NOT(AS59)*1=0),IF(AS60=1,MOD(NOT(AR59),2),MOD(NOT(AR59)+1,2)),IF(NOT(AS59)*1=1,MOD(NOT(AR59)+1,2),MOD(NOT(AR59),2)))</f>
        <v>0</v>
      </c>
      <c r="AS60" s="3">
        <f t="shared" ref="AS60" si="127">IF(NOT(NOT(AT59)*1=0),IF(AT60=1,MOD(NOT(AS59),2),MOD(NOT(AS59)+1,2)),IF(NOT(AT59)*1=1,MOD(NOT(AS59)+1,2),MOD(NOT(AS59),2)))</f>
        <v>1</v>
      </c>
      <c r="AT60" s="3">
        <f>IF(NOT(NOT(AU59)*1=0),IF(AU60=1,MOD(NOT(AT59),2),MOD(NOT(AT59)+1,2)),IF(NOT(AU59)*1=1,MOD(NOT(AT59)+1,2),MOD(NOT(AT59),2)))</f>
        <v>1</v>
      </c>
      <c r="AU60" s="3">
        <f>MOD(NOT(AU59)+1,2)</f>
        <v>1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24"/>
    </row>
    <row r="61" spans="27:61" x14ac:dyDescent="0.2">
      <c r="AA61" s="18"/>
      <c r="AB61" s="3"/>
      <c r="AC61" s="3"/>
      <c r="AD61" s="3"/>
      <c r="AE61" s="3" t="s">
        <v>56</v>
      </c>
      <c r="AF61" s="3">
        <f>IF(NOT(AC56=AC57),IF(AC59=1,0,1),IF(AC56=1,1,0))</f>
        <v>1</v>
      </c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24"/>
    </row>
    <row r="62" spans="27:61" x14ac:dyDescent="0.2">
      <c r="AA62" s="18"/>
      <c r="AB62" s="3"/>
      <c r="AC62" s="3"/>
      <c r="AD62" s="3"/>
      <c r="AE62" s="3" t="s">
        <v>57</v>
      </c>
      <c r="AF62" s="3">
        <f>IF(MOD(SUM(AM59:AU59),2)=0,1,0)</f>
        <v>1</v>
      </c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24"/>
    </row>
    <row r="63" spans="27:61" x14ac:dyDescent="0.2">
      <c r="AA63" s="18"/>
      <c r="AB63" s="3"/>
      <c r="AC63" s="3"/>
      <c r="AD63" s="3"/>
      <c r="AE63" s="3" t="s">
        <v>58</v>
      </c>
      <c r="AF63" s="3">
        <f>IF(NOT(AS56=AS57),IF(AS59=1,0,1),IF(AS56=1,1,0))</f>
        <v>1</v>
      </c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24"/>
    </row>
    <row r="64" spans="27:61" x14ac:dyDescent="0.2">
      <c r="AA64" s="18"/>
      <c r="AB64" s="3"/>
      <c r="AC64" s="3"/>
      <c r="AD64" s="3"/>
      <c r="AE64" s="3" t="s">
        <v>59</v>
      </c>
      <c r="AF64" s="3">
        <f>IF(SUM(AC59:AU59)=0,1,0)</f>
        <v>0</v>
      </c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24"/>
    </row>
    <row r="65" spans="27:61" x14ac:dyDescent="0.2">
      <c r="AA65" s="18"/>
      <c r="AB65" s="3"/>
      <c r="AC65" s="3"/>
      <c r="AD65" s="3"/>
      <c r="AE65" s="3" t="s">
        <v>60</v>
      </c>
      <c r="AF65" s="3">
        <f>IF(AC59=1,1,0)</f>
        <v>0</v>
      </c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24"/>
    </row>
    <row r="66" spans="27:61" ht="17" thickBot="1" x14ac:dyDescent="0.25">
      <c r="AA66" s="25"/>
      <c r="AB66" s="26"/>
      <c r="AC66" s="26"/>
      <c r="AD66" s="26"/>
      <c r="AE66" s="26" t="s">
        <v>61</v>
      </c>
      <c r="AF66" s="26">
        <f>_xlfn.XOR((IF(NOT(AD56=AD57),IF(AD59=1,0,1),IF(AD56=1,1,0))=1),IF(NOT(AC56=AC57),IF(AC59=1,0,1),IF(AC56=1,1,0))=1)*1</f>
        <v>1</v>
      </c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 t="s">
        <v>71</v>
      </c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7"/>
    </row>
    <row r="68" spans="27:61" ht="17" thickBot="1" x14ac:dyDescent="0.25"/>
    <row r="69" spans="27:61" ht="18" x14ac:dyDescent="0.25">
      <c r="AA69" s="7"/>
      <c r="AB69" s="8" t="s">
        <v>44</v>
      </c>
      <c r="AC69" s="9">
        <f>G4</f>
        <v>0</v>
      </c>
      <c r="AD69" s="9">
        <f t="shared" ref="AD69:AU69" si="128">H4</f>
        <v>0</v>
      </c>
      <c r="AE69" s="9">
        <f t="shared" si="128"/>
        <v>0</v>
      </c>
      <c r="AF69" s="9">
        <f t="shared" si="128"/>
        <v>1</v>
      </c>
      <c r="AG69" s="9" t="str">
        <f t="shared" si="128"/>
        <v>.</v>
      </c>
      <c r="AH69" s="9">
        <f t="shared" si="128"/>
        <v>0</v>
      </c>
      <c r="AI69" s="9">
        <f t="shared" si="128"/>
        <v>0</v>
      </c>
      <c r="AJ69" s="9">
        <f t="shared" si="128"/>
        <v>0</v>
      </c>
      <c r="AK69" s="9">
        <f t="shared" si="128"/>
        <v>0</v>
      </c>
      <c r="AL69" s="9" t="str">
        <f t="shared" si="128"/>
        <v>.</v>
      </c>
      <c r="AM69" s="9">
        <f t="shared" si="128"/>
        <v>0</v>
      </c>
      <c r="AN69" s="9">
        <f t="shared" si="128"/>
        <v>1</v>
      </c>
      <c r="AO69" s="9">
        <f t="shared" si="128"/>
        <v>1</v>
      </c>
      <c r="AP69" s="9">
        <f t="shared" si="128"/>
        <v>0</v>
      </c>
      <c r="AQ69" s="9" t="str">
        <f t="shared" si="128"/>
        <v>.</v>
      </c>
      <c r="AR69" s="9">
        <f t="shared" si="128"/>
        <v>1</v>
      </c>
      <c r="AS69" s="9">
        <f t="shared" si="128"/>
        <v>1</v>
      </c>
      <c r="AT69" s="9">
        <f t="shared" si="128"/>
        <v>1</v>
      </c>
      <c r="AU69" s="9">
        <f t="shared" si="128"/>
        <v>1</v>
      </c>
      <c r="AV69" s="9"/>
      <c r="AW69" s="9"/>
      <c r="AX69" s="9"/>
      <c r="AY69" s="9"/>
      <c r="AZ69" s="10" t="s">
        <v>53</v>
      </c>
      <c r="BA69" s="9"/>
      <c r="BB69" s="9">
        <f>C4</f>
        <v>4207</v>
      </c>
      <c r="BC69" s="9"/>
      <c r="BD69" s="9"/>
      <c r="BE69" s="11" t="s">
        <v>80</v>
      </c>
      <c r="BF69" s="11"/>
      <c r="BG69" s="11"/>
      <c r="BH69" s="11"/>
      <c r="BI69" s="12"/>
    </row>
    <row r="70" spans="27:61" ht="18" x14ac:dyDescent="0.25">
      <c r="AA70" s="13" t="s">
        <v>46</v>
      </c>
      <c r="AB70" s="14" t="s">
        <v>68</v>
      </c>
      <c r="AC70" s="3">
        <f>G11</f>
        <v>1</v>
      </c>
      <c r="AD70" s="3">
        <f t="shared" ref="AD70:AU70" si="129">H11</f>
        <v>1</v>
      </c>
      <c r="AE70" s="3">
        <f t="shared" si="129"/>
        <v>0</v>
      </c>
      <c r="AF70" s="3">
        <f t="shared" si="129"/>
        <v>0</v>
      </c>
      <c r="AG70" s="3" t="str">
        <f t="shared" si="129"/>
        <v>.</v>
      </c>
      <c r="AH70" s="3">
        <f t="shared" si="129"/>
        <v>0</v>
      </c>
      <c r="AI70" s="3">
        <f t="shared" si="129"/>
        <v>1</v>
      </c>
      <c r="AJ70" s="3">
        <f t="shared" si="129"/>
        <v>1</v>
      </c>
      <c r="AK70" s="3">
        <f t="shared" si="129"/>
        <v>0</v>
      </c>
      <c r="AL70" s="3" t="str">
        <f t="shared" si="129"/>
        <v>.</v>
      </c>
      <c r="AM70" s="3">
        <f t="shared" si="129"/>
        <v>1</v>
      </c>
      <c r="AN70" s="3">
        <f t="shared" si="129"/>
        <v>0</v>
      </c>
      <c r="AO70" s="3">
        <f t="shared" si="129"/>
        <v>0</v>
      </c>
      <c r="AP70" s="3">
        <f t="shared" si="129"/>
        <v>0</v>
      </c>
      <c r="AQ70" s="3" t="str">
        <f t="shared" si="129"/>
        <v>.</v>
      </c>
      <c r="AR70" s="3">
        <f t="shared" si="129"/>
        <v>1</v>
      </c>
      <c r="AS70" s="3">
        <f t="shared" si="129"/>
        <v>1</v>
      </c>
      <c r="AT70" s="3">
        <f t="shared" si="129"/>
        <v>0</v>
      </c>
      <c r="AU70" s="3">
        <f t="shared" si="129"/>
        <v>0</v>
      </c>
      <c r="AV70" s="3"/>
      <c r="AW70" s="3"/>
      <c r="AX70" s="3"/>
      <c r="AY70" s="14" t="s">
        <v>46</v>
      </c>
      <c r="AZ70" s="15" t="s">
        <v>70</v>
      </c>
      <c r="BA70" s="3"/>
      <c r="BB70" s="3">
        <f>C11</f>
        <v>-14708</v>
      </c>
      <c r="BC70" s="3"/>
      <c r="BD70" s="3"/>
      <c r="BE70" s="16"/>
      <c r="BF70" s="16"/>
      <c r="BG70" s="16"/>
      <c r="BH70" s="16"/>
      <c r="BI70" s="17"/>
    </row>
    <row r="71" spans="27:61" x14ac:dyDescent="0.2">
      <c r="AA71" s="18"/>
      <c r="AB71" s="19" t="s">
        <v>49</v>
      </c>
      <c r="AC71" s="19" t="s">
        <v>48</v>
      </c>
      <c r="AD71" s="19" t="s">
        <v>48</v>
      </c>
      <c r="AE71" s="19" t="s">
        <v>48</v>
      </c>
      <c r="AF71" s="19" t="s">
        <v>48</v>
      </c>
      <c r="AG71" s="19" t="s">
        <v>48</v>
      </c>
      <c r="AH71" s="19" t="s">
        <v>48</v>
      </c>
      <c r="AI71" s="19" t="s">
        <v>48</v>
      </c>
      <c r="AJ71" s="19" t="s">
        <v>48</v>
      </c>
      <c r="AK71" s="19" t="s">
        <v>48</v>
      </c>
      <c r="AL71" s="19" t="s">
        <v>48</v>
      </c>
      <c r="AM71" s="19" t="s">
        <v>48</v>
      </c>
      <c r="AN71" s="19" t="s">
        <v>48</v>
      </c>
      <c r="AO71" s="19" t="s">
        <v>48</v>
      </c>
      <c r="AP71" s="19" t="s">
        <v>48</v>
      </c>
      <c r="AQ71" s="19" t="s">
        <v>48</v>
      </c>
      <c r="AR71" s="19" t="s">
        <v>48</v>
      </c>
      <c r="AS71" s="19" t="s">
        <v>48</v>
      </c>
      <c r="AT71" s="19" t="s">
        <v>48</v>
      </c>
      <c r="AU71" s="19" t="s">
        <v>48</v>
      </c>
      <c r="AV71" s="3"/>
      <c r="AW71" s="3"/>
      <c r="AX71" s="3"/>
      <c r="AY71" s="14" t="s">
        <v>54</v>
      </c>
      <c r="AZ71" s="15" t="s">
        <v>47</v>
      </c>
      <c r="BA71" s="14" t="s">
        <v>48</v>
      </c>
      <c r="BB71" s="14" t="s">
        <v>55</v>
      </c>
      <c r="BC71" s="3"/>
      <c r="BD71" s="3"/>
      <c r="BE71" s="16"/>
      <c r="BF71" s="16"/>
      <c r="BG71" s="16"/>
      <c r="BH71" s="16"/>
      <c r="BI71" s="17"/>
    </row>
    <row r="72" spans="27:61" ht="18" x14ac:dyDescent="0.25">
      <c r="AA72" s="18"/>
      <c r="AB72" s="15" t="s">
        <v>54</v>
      </c>
      <c r="AC72" s="3">
        <f t="shared" ref="AC72:AE72" si="130">IF(NOT(AD69=AD70),IF(AD72=1,MOD(AC69+AC70,2),MOD(AC69+AC70+1,2)),IF(AD69=1,MOD(AC69+AC70+1,2),MOD(AC69+AC70,2)))</f>
        <v>1</v>
      </c>
      <c r="AD72" s="3">
        <f t="shared" si="130"/>
        <v>1</v>
      </c>
      <c r="AE72" s="3">
        <f t="shared" si="130"/>
        <v>0</v>
      </c>
      <c r="AF72" s="3">
        <f>IF(NOT(AH69=AH70),IF(AH72=1,MOD(AF69+AF70,2),MOD(AF69+AF70+1,2)),IF(AH69=1,MOD(AF69+AF70+1,2),MOD(AF69+AF70,2)))</f>
        <v>1</v>
      </c>
      <c r="AG72" s="3" t="s">
        <v>37</v>
      </c>
      <c r="AH72" s="3">
        <f t="shared" ref="AH72:AJ72" si="131">IF(NOT(AI69=AI70),IF(AI72=1,MOD(AH69+AH70,2),MOD(AH69+AH70+1,2)),IF(AI69=1,MOD(AH69+AH70+1,2),MOD(AH69+AH70,2)))</f>
        <v>0</v>
      </c>
      <c r="AI72" s="3">
        <f t="shared" si="131"/>
        <v>1</v>
      </c>
      <c r="AJ72" s="3">
        <f t="shared" si="131"/>
        <v>1</v>
      </c>
      <c r="AK72" s="3">
        <f>IF(NOT(AM69=AM70),IF(AM72=1,MOD(AK69+AK70,2),MOD(AK69+AK70+1,2)),IF(AM69=1,MOD(AK69+AK70+1,2),MOD(AK69+AK70,2)))</f>
        <v>0</v>
      </c>
      <c r="AL72" s="3" t="s">
        <v>37</v>
      </c>
      <c r="AM72" s="3">
        <f t="shared" ref="AM72:AO72" si="132">IF(NOT(AN69=AN70),IF(AN72=1,MOD(AM69+AM70,2),MOD(AM69+AM70+1,2)),IF(AN69=1,MOD(AM69+AM70+1,2),MOD(AM69+AM70,2)))</f>
        <v>1</v>
      </c>
      <c r="AN72" s="3">
        <f t="shared" si="132"/>
        <v>1</v>
      </c>
      <c r="AO72" s="3">
        <f t="shared" si="132"/>
        <v>1</v>
      </c>
      <c r="AP72" s="3">
        <f>IF(NOT(AR69=AR70),IF(AR72=1,MOD(AP69+AP70,2),MOD(AP69+AP70+1,2)),IF(AR69=1,MOD(AP69+AP70+1,2),MOD(AP69+AP70,2)))</f>
        <v>1</v>
      </c>
      <c r="AQ72" s="3" t="s">
        <v>37</v>
      </c>
      <c r="AR72" s="3">
        <f t="shared" ref="AR72:BH72" si="133">IF(NOT(AS69=AS70),IF(AS72=1,MOD(AR69+AR70,2),MOD(AR69+AR70+1,2)),IF(AS69=1,MOD(AR69+AR70+1,2),MOD(AR69+AR70,2)))</f>
        <v>1</v>
      </c>
      <c r="AS72" s="3">
        <f t="shared" si="133"/>
        <v>0</v>
      </c>
      <c r="AT72" s="3">
        <f>IF(NOT(AU69=AU70),IF(AU72=1,MOD(AT69+AT70,2),MOD(AT69+AT70+1,2)),IF(AU69=1,MOD(AT69+AT70+1,2),MOD(AT69+AT70,2)))</f>
        <v>1</v>
      </c>
      <c r="AU72" s="3">
        <f>MOD(AU69+AU70,2)</f>
        <v>1</v>
      </c>
      <c r="AV72" s="20" t="s">
        <v>50</v>
      </c>
      <c r="AW72" s="3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20" t="s">
        <v>51</v>
      </c>
      <c r="AY72" s="3"/>
      <c r="AZ72" s="21"/>
      <c r="BA72" s="3"/>
      <c r="BB72" s="3">
        <f>BB69+BB70</f>
        <v>-10501</v>
      </c>
      <c r="BC72" s="20" t="s">
        <v>51</v>
      </c>
      <c r="BD72" s="3"/>
      <c r="BE72" s="16"/>
      <c r="BF72" s="16"/>
      <c r="BG72" s="16"/>
      <c r="BH72" s="16"/>
      <c r="BI72" s="17"/>
    </row>
    <row r="73" spans="27:61" x14ac:dyDescent="0.2">
      <c r="AA73" s="18"/>
      <c r="AB73" s="22" t="s">
        <v>72</v>
      </c>
      <c r="AC73" s="23"/>
      <c r="AD73" s="3">
        <f t="shared" ref="AD73" si="134">IF(NOT(NOT(AE72)*1=0),IF(AE73=1,MOD(NOT(AD72),2),MOD(NOT(AD72)+1,2)),IF(NOT(AE72)*1=1,MOD(NOT(AD72)+1,2),MOD(NOT(AD72),2)))</f>
        <v>0</v>
      </c>
      <c r="AE73" s="3">
        <f t="shared" ref="AE73" si="135">IF(NOT(NOT(AF72)*1=0),IF(AF73=1,MOD(NOT(AE72),2),MOD(NOT(AE72)+1,2)),IF(NOT(AF72)*1=1,MOD(NOT(AE72)+1,2),MOD(NOT(AE72),2)))</f>
        <v>1</v>
      </c>
      <c r="AF73" s="3">
        <f>IF(NOT(NOT(AH72)*1=0),IF(AH73=1,MOD(NOT(AF72),2),MOD(NOT(AF72)+1,2)),IF(NOT(AH72)*1=1,MOD(NOT(AF72)+1,2),MOD(NOT(AF72),2)))</f>
        <v>0</v>
      </c>
      <c r="AG73" s="3" t="s">
        <v>37</v>
      </c>
      <c r="AH73" s="3">
        <f t="shared" ref="AH73" si="136">IF(NOT(NOT(AI72)*1=0),IF(AI73=1,MOD(NOT(AH72),2),MOD(NOT(AH72)+1,2)),IF(NOT(AI72)*1=1,MOD(NOT(AH72)+1,2),MOD(NOT(AH72),2)))</f>
        <v>1</v>
      </c>
      <c r="AI73" s="3">
        <f t="shared" ref="AI73" si="137">IF(NOT(NOT(AJ72)*1=0),IF(AJ73=1,MOD(NOT(AI72),2),MOD(NOT(AI72)+1,2)),IF(NOT(AJ72)*1=1,MOD(NOT(AI72)+1,2),MOD(NOT(AI72),2)))</f>
        <v>0</v>
      </c>
      <c r="AJ73" s="3">
        <f t="shared" ref="AJ73" si="138">IF(NOT(NOT(AK72)*1=0),IF(AK73=1,MOD(NOT(AJ72),2),MOD(NOT(AJ72)+1,2)),IF(NOT(AK72)*1=1,MOD(NOT(AJ72)+1,2),MOD(NOT(AJ72),2)))</f>
        <v>0</v>
      </c>
      <c r="AK73" s="3">
        <f>IF(NOT(NOT(AM72)*1=0),IF(AM73=1,MOD(NOT(AK72),2),MOD(NOT(AK72)+1,2)),IF(NOT(AM72)*1=1,MOD(NOT(AK72)+1,2),MOD(NOT(AK72),2)))</f>
        <v>1</v>
      </c>
      <c r="AL73" s="3" t="s">
        <v>37</v>
      </c>
      <c r="AM73" s="3">
        <f t="shared" ref="AM73" si="139">IF(NOT(NOT(AN72)*1=0),IF(AN73=1,MOD(NOT(AM72),2),MOD(NOT(AM72)+1,2)),IF(NOT(AN72)*1=1,MOD(NOT(AM72)+1,2),MOD(NOT(AM72),2)))</f>
        <v>0</v>
      </c>
      <c r="AN73" s="3">
        <f t="shared" ref="AN73" si="140">IF(NOT(NOT(AO72)*1=0),IF(AO73=1,MOD(NOT(AN72),2),MOD(NOT(AN72)+1,2)),IF(NOT(AO72)*1=1,MOD(NOT(AN72)+1,2),MOD(NOT(AN72),2)))</f>
        <v>0</v>
      </c>
      <c r="AO73" s="3">
        <f t="shared" ref="AO73" si="141">IF(NOT(NOT(AP72)*1=0),IF(AP73=1,MOD(NOT(AO72),2),MOD(NOT(AO72)+1,2)),IF(NOT(AP72)*1=1,MOD(NOT(AO72)+1,2),MOD(NOT(AO72),2)))</f>
        <v>0</v>
      </c>
      <c r="AP73" s="3">
        <f>IF(NOT(NOT(AR72)*1=0),IF(AR73=1,MOD(NOT(AP72),2),MOD(NOT(AP72)+1,2)),IF(NOT(AR72)*1=1,MOD(NOT(AP72)+1,2),MOD(NOT(AP72),2)))</f>
        <v>0</v>
      </c>
      <c r="AQ73" s="3" t="s">
        <v>37</v>
      </c>
      <c r="AR73" s="3">
        <f t="shared" ref="AR73" si="142">IF(NOT(NOT(AS72)*1=0),IF(AS73=1,MOD(NOT(AR72),2),MOD(NOT(AR72)+1,2)),IF(NOT(AS72)*1=1,MOD(NOT(AR72)+1,2),MOD(NOT(AR72),2)))</f>
        <v>0</v>
      </c>
      <c r="AS73" s="3">
        <f t="shared" ref="AS73" si="143">IF(NOT(NOT(AT72)*1=0),IF(AT73=1,MOD(NOT(AS72),2),MOD(NOT(AS72)+1,2)),IF(NOT(AT72)*1=1,MOD(NOT(AS72)+1,2),MOD(NOT(AS72),2)))</f>
        <v>1</v>
      </c>
      <c r="AT73" s="3">
        <f>IF(NOT(NOT(AU72)*1=0),IF(AU73=1,MOD(NOT(AT72),2),MOD(NOT(AT72)+1,2)),IF(NOT(AU72)*1=1,MOD(NOT(AT72)+1,2),MOD(NOT(AT72),2)))</f>
        <v>0</v>
      </c>
      <c r="AU73" s="3">
        <f>MOD(NOT(AU72)+1,2)</f>
        <v>1</v>
      </c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24"/>
    </row>
    <row r="74" spans="27:61" x14ac:dyDescent="0.2">
      <c r="AA74" s="18"/>
      <c r="AB74" s="3"/>
      <c r="AC74" s="3"/>
      <c r="AD74" s="3"/>
      <c r="AE74" s="3" t="s">
        <v>56</v>
      </c>
      <c r="AF74" s="3">
        <f>IF(NOT(AC69=AC70),IF(AC72=1,0,1),IF(AC69=1,1,0))</f>
        <v>0</v>
      </c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24"/>
    </row>
    <row r="75" spans="27:61" x14ac:dyDescent="0.2">
      <c r="AA75" s="18"/>
      <c r="AB75" s="3"/>
      <c r="AC75" s="3"/>
      <c r="AD75" s="3"/>
      <c r="AE75" s="3" t="s">
        <v>57</v>
      </c>
      <c r="AF75" s="3">
        <f>IF(MOD(SUM(AM72:AU72),2)=0,1,0)</f>
        <v>0</v>
      </c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24"/>
    </row>
    <row r="76" spans="27:61" x14ac:dyDescent="0.2">
      <c r="AA76" s="18"/>
      <c r="AB76" s="3"/>
      <c r="AC76" s="3"/>
      <c r="AD76" s="3"/>
      <c r="AE76" s="3" t="s">
        <v>58</v>
      </c>
      <c r="AF76" s="3">
        <f>IF(NOT(AS69=AS70),IF(AS72=1,0,1),IF(AS69=1,1,0))</f>
        <v>1</v>
      </c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24"/>
    </row>
    <row r="77" spans="27:61" x14ac:dyDescent="0.2">
      <c r="AA77" s="18"/>
      <c r="AB77" s="3"/>
      <c r="AC77" s="3"/>
      <c r="AD77" s="3"/>
      <c r="AE77" s="3" t="s">
        <v>59</v>
      </c>
      <c r="AF77" s="3">
        <f>IF(SUM(AC72:AU72)=0,1,0)</f>
        <v>0</v>
      </c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24"/>
    </row>
    <row r="78" spans="27:61" x14ac:dyDescent="0.2">
      <c r="AA78" s="18"/>
      <c r="AB78" s="3"/>
      <c r="AC78" s="3"/>
      <c r="AD78" s="3"/>
      <c r="AE78" s="3" t="s">
        <v>60</v>
      </c>
      <c r="AF78" s="3">
        <f>IF(AC72=1,1,0)</f>
        <v>1</v>
      </c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24"/>
    </row>
    <row r="79" spans="27:61" ht="17" thickBot="1" x14ac:dyDescent="0.25">
      <c r="AA79" s="25"/>
      <c r="AB79" s="26"/>
      <c r="AC79" s="26"/>
      <c r="AD79" s="26"/>
      <c r="AE79" s="26" t="s">
        <v>61</v>
      </c>
      <c r="AF79" s="26">
        <f>_xlfn.XOR((IF(NOT(AD69=AD70),IF(AD72=1,0,1),IF(AD69=1,1,0))=1),IF(NOT(AC69=AC70),IF(AC72=1,0,1),IF(AC69=1,1,0))=1)*1</f>
        <v>0</v>
      </c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 t="s">
        <v>71</v>
      </c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7"/>
    </row>
    <row r="81" spans="27:61" ht="17" thickBot="1" x14ac:dyDescent="0.25"/>
    <row r="82" spans="27:61" ht="18" x14ac:dyDescent="0.25">
      <c r="AA82" s="7"/>
      <c r="AB82" s="8" t="s">
        <v>81</v>
      </c>
      <c r="AC82" s="9">
        <f>G14</f>
        <v>1</v>
      </c>
      <c r="AD82" s="9">
        <f t="shared" ref="AD82:AU82" si="144">H14</f>
        <v>1</v>
      </c>
      <c r="AE82" s="9">
        <f t="shared" si="144"/>
        <v>0</v>
      </c>
      <c r="AF82" s="9">
        <f t="shared" si="144"/>
        <v>1</v>
      </c>
      <c r="AG82" s="9" t="str">
        <f t="shared" si="144"/>
        <v>.</v>
      </c>
      <c r="AH82" s="9">
        <f t="shared" si="144"/>
        <v>0</v>
      </c>
      <c r="AI82" s="9">
        <f t="shared" si="144"/>
        <v>1</v>
      </c>
      <c r="AJ82" s="9">
        <f t="shared" si="144"/>
        <v>1</v>
      </c>
      <c r="AK82" s="9">
        <f t="shared" si="144"/>
        <v>0</v>
      </c>
      <c r="AL82" s="9" t="str">
        <f t="shared" si="144"/>
        <v>.</v>
      </c>
      <c r="AM82" s="9">
        <f t="shared" si="144"/>
        <v>1</v>
      </c>
      <c r="AN82" s="9">
        <f t="shared" si="144"/>
        <v>1</v>
      </c>
      <c r="AO82" s="9">
        <f t="shared" si="144"/>
        <v>1</v>
      </c>
      <c r="AP82" s="9">
        <f t="shared" si="144"/>
        <v>1</v>
      </c>
      <c r="AQ82" s="9" t="str">
        <f t="shared" si="144"/>
        <v>.</v>
      </c>
      <c r="AR82" s="9">
        <f t="shared" si="144"/>
        <v>1</v>
      </c>
      <c r="AS82" s="9">
        <f t="shared" si="144"/>
        <v>0</v>
      </c>
      <c r="AT82" s="9">
        <f t="shared" si="144"/>
        <v>1</v>
      </c>
      <c r="AU82" s="9">
        <f t="shared" si="144"/>
        <v>1</v>
      </c>
      <c r="AV82" s="9"/>
      <c r="AW82" s="9"/>
      <c r="AX82" s="9"/>
      <c r="AY82" s="9"/>
      <c r="AZ82" s="10" t="s">
        <v>82</v>
      </c>
      <c r="BA82" s="9"/>
      <c r="BB82" s="9">
        <f>C14</f>
        <v>-10501</v>
      </c>
      <c r="BC82" s="9"/>
      <c r="BD82" s="9"/>
      <c r="BE82" s="11" t="s">
        <v>83</v>
      </c>
      <c r="BF82" s="11"/>
      <c r="BG82" s="11"/>
      <c r="BH82" s="11"/>
      <c r="BI82" s="12"/>
    </row>
    <row r="83" spans="27:61" ht="18" x14ac:dyDescent="0.25">
      <c r="AA83" s="13" t="s">
        <v>46</v>
      </c>
      <c r="AB83" s="14" t="s">
        <v>63</v>
      </c>
      <c r="AC83" s="3">
        <f>G6</f>
        <v>0</v>
      </c>
      <c r="AD83" s="3">
        <f t="shared" ref="AD83:AU83" si="145">H6</f>
        <v>1</v>
      </c>
      <c r="AE83" s="3">
        <f t="shared" si="145"/>
        <v>0</v>
      </c>
      <c r="AF83" s="3">
        <f t="shared" si="145"/>
        <v>0</v>
      </c>
      <c r="AG83" s="3" t="str">
        <f t="shared" si="145"/>
        <v>.</v>
      </c>
      <c r="AH83" s="3">
        <f t="shared" si="145"/>
        <v>1</v>
      </c>
      <c r="AI83" s="3">
        <f t="shared" si="145"/>
        <v>0</v>
      </c>
      <c r="AJ83" s="3">
        <f t="shared" si="145"/>
        <v>0</v>
      </c>
      <c r="AK83" s="3">
        <f t="shared" si="145"/>
        <v>1</v>
      </c>
      <c r="AL83" s="3" t="str">
        <f t="shared" si="145"/>
        <v>.</v>
      </c>
      <c r="AM83" s="3">
        <f t="shared" si="145"/>
        <v>1</v>
      </c>
      <c r="AN83" s="3">
        <f t="shared" si="145"/>
        <v>1</v>
      </c>
      <c r="AO83" s="3">
        <f t="shared" si="145"/>
        <v>1</v>
      </c>
      <c r="AP83" s="3">
        <f t="shared" si="145"/>
        <v>0</v>
      </c>
      <c r="AQ83" s="3" t="str">
        <f t="shared" si="145"/>
        <v>.</v>
      </c>
      <c r="AR83" s="3">
        <f t="shared" si="145"/>
        <v>0</v>
      </c>
      <c r="AS83" s="3">
        <f t="shared" si="145"/>
        <v>0</v>
      </c>
      <c r="AT83" s="3">
        <f t="shared" si="145"/>
        <v>1</v>
      </c>
      <c r="AU83" s="3">
        <f t="shared" si="145"/>
        <v>1</v>
      </c>
      <c r="AV83" s="3"/>
      <c r="AW83" s="3"/>
      <c r="AX83" s="3"/>
      <c r="AY83" s="14" t="s">
        <v>46</v>
      </c>
      <c r="AZ83" s="15" t="s">
        <v>65</v>
      </c>
      <c r="BA83" s="3"/>
      <c r="BB83" s="3">
        <f>C6</f>
        <v>18915</v>
      </c>
      <c r="BC83" s="3"/>
      <c r="BD83" s="3"/>
      <c r="BE83" s="16"/>
      <c r="BF83" s="16"/>
      <c r="BG83" s="16"/>
      <c r="BH83" s="16"/>
      <c r="BI83" s="17"/>
    </row>
    <row r="84" spans="27:61" x14ac:dyDescent="0.2">
      <c r="AA84" s="18"/>
      <c r="AB84" s="19" t="s">
        <v>49</v>
      </c>
      <c r="AC84" s="19" t="s">
        <v>48</v>
      </c>
      <c r="AD84" s="19" t="s">
        <v>48</v>
      </c>
      <c r="AE84" s="19" t="s">
        <v>48</v>
      </c>
      <c r="AF84" s="19" t="s">
        <v>48</v>
      </c>
      <c r="AG84" s="19" t="s">
        <v>48</v>
      </c>
      <c r="AH84" s="19" t="s">
        <v>48</v>
      </c>
      <c r="AI84" s="19" t="s">
        <v>48</v>
      </c>
      <c r="AJ84" s="19" t="s">
        <v>48</v>
      </c>
      <c r="AK84" s="19" t="s">
        <v>48</v>
      </c>
      <c r="AL84" s="19" t="s">
        <v>48</v>
      </c>
      <c r="AM84" s="19" t="s">
        <v>48</v>
      </c>
      <c r="AN84" s="19" t="s">
        <v>48</v>
      </c>
      <c r="AO84" s="19" t="s">
        <v>48</v>
      </c>
      <c r="AP84" s="19" t="s">
        <v>48</v>
      </c>
      <c r="AQ84" s="19" t="s">
        <v>48</v>
      </c>
      <c r="AR84" s="19" t="s">
        <v>48</v>
      </c>
      <c r="AS84" s="19" t="s">
        <v>48</v>
      </c>
      <c r="AT84" s="19" t="s">
        <v>48</v>
      </c>
      <c r="AU84" s="19" t="s">
        <v>48</v>
      </c>
      <c r="AV84" s="3"/>
      <c r="AW84" s="3"/>
      <c r="AX84" s="3"/>
      <c r="AY84" s="14" t="s">
        <v>54</v>
      </c>
      <c r="AZ84" s="15" t="s">
        <v>47</v>
      </c>
      <c r="BA84" s="14" t="s">
        <v>48</v>
      </c>
      <c r="BB84" s="14" t="s">
        <v>55</v>
      </c>
      <c r="BC84" s="3"/>
      <c r="BD84" s="3"/>
      <c r="BE84" s="16"/>
      <c r="BF84" s="16"/>
      <c r="BG84" s="16"/>
      <c r="BH84" s="16"/>
      <c r="BI84" s="17"/>
    </row>
    <row r="85" spans="27:61" ht="18" x14ac:dyDescent="0.25">
      <c r="AA85" s="18"/>
      <c r="AB85" s="15" t="s">
        <v>54</v>
      </c>
      <c r="AC85" s="3">
        <f t="shared" ref="AC85:AE85" si="146">IF(NOT(AD82=AD83),IF(AD85=1,MOD(AC82+AC83,2),MOD(AC82+AC83+1,2)),IF(AD82=1,MOD(AC82+AC83+1,2),MOD(AC82+AC83,2)))</f>
        <v>0</v>
      </c>
      <c r="AD85" s="3">
        <f t="shared" si="146"/>
        <v>0</v>
      </c>
      <c r="AE85" s="3">
        <f t="shared" si="146"/>
        <v>1</v>
      </c>
      <c r="AF85" s="3">
        <f>IF(NOT(AH82=AH83),IF(AH85=1,MOD(AF82+AF83,2),MOD(AF82+AF83+1,2)),IF(AH82=1,MOD(AF82+AF83+1,2),MOD(AF82+AF83,2)))</f>
        <v>0</v>
      </c>
      <c r="AG85" s="3" t="s">
        <v>37</v>
      </c>
      <c r="AH85" s="3">
        <f t="shared" ref="AH85:AJ85" si="147">IF(NOT(AI82=AI83),IF(AI85=1,MOD(AH82+AH83,2),MOD(AH82+AH83+1,2)),IF(AI82=1,MOD(AH82+AH83+1,2),MOD(AH82+AH83,2)))</f>
        <v>0</v>
      </c>
      <c r="AI85" s="3">
        <f t="shared" si="147"/>
        <v>0</v>
      </c>
      <c r="AJ85" s="3">
        <f t="shared" si="147"/>
        <v>0</v>
      </c>
      <c r="AK85" s="3">
        <f>IF(NOT(AM82=AM83),IF(AM85=1,MOD(AK82+AK83,2),MOD(AK82+AK83+1,2)),IF(AM82=1,MOD(AK82+AK83+1,2),MOD(AK82+AK83,2)))</f>
        <v>0</v>
      </c>
      <c r="AL85" s="3" t="s">
        <v>37</v>
      </c>
      <c r="AM85" s="3">
        <f t="shared" ref="AM85:AO85" si="148">IF(NOT(AN82=AN83),IF(AN85=1,MOD(AM82+AM83,2),MOD(AM82+AM83+1,2)),IF(AN82=1,MOD(AM82+AM83+1,2),MOD(AM82+AM83,2)))</f>
        <v>1</v>
      </c>
      <c r="AN85" s="3">
        <f t="shared" si="148"/>
        <v>1</v>
      </c>
      <c r="AO85" s="3">
        <f t="shared" si="148"/>
        <v>0</v>
      </c>
      <c r="AP85" s="3">
        <f>IF(NOT(AR82=AR83),IF(AR85=1,MOD(AP82+AP83,2),MOD(AP82+AP83+1,2)),IF(AR82=1,MOD(AP82+AP83+1,2),MOD(AP82+AP83,2)))</f>
        <v>1</v>
      </c>
      <c r="AQ85" s="3" t="s">
        <v>37</v>
      </c>
      <c r="AR85" s="3">
        <f t="shared" ref="AR85:BH85" si="149">IF(NOT(AS82=AS83),IF(AS85=1,MOD(AR82+AR83,2),MOD(AR82+AR83+1,2)),IF(AS82=1,MOD(AR82+AR83+1,2),MOD(AR82+AR83,2)))</f>
        <v>1</v>
      </c>
      <c r="AS85" s="3">
        <f t="shared" si="149"/>
        <v>1</v>
      </c>
      <c r="AT85" s="3">
        <f>IF(NOT(AU82=AU83),IF(AU85=1,MOD(AT82+AT83,2),MOD(AT82+AT83+1,2)),IF(AU82=1,MOD(AT82+AT83+1,2),MOD(AT82+AT83,2)))</f>
        <v>1</v>
      </c>
      <c r="AU85" s="3">
        <f>MOD(AU82+AU83,2)</f>
        <v>0</v>
      </c>
      <c r="AV85" s="20" t="s">
        <v>50</v>
      </c>
      <c r="AW85" s="3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20" t="s">
        <v>51</v>
      </c>
      <c r="AY85" s="3"/>
      <c r="AZ85" s="21"/>
      <c r="BA85" s="3"/>
      <c r="BB85" s="3">
        <f>BB82+BB83</f>
        <v>8414</v>
      </c>
      <c r="BC85" s="20" t="s">
        <v>51</v>
      </c>
      <c r="BD85" s="3"/>
      <c r="BE85" s="16"/>
      <c r="BF85" s="16"/>
      <c r="BG85" s="16"/>
      <c r="BH85" s="16"/>
      <c r="BI85" s="17"/>
    </row>
    <row r="86" spans="27:61" x14ac:dyDescent="0.2">
      <c r="AA86" s="18"/>
      <c r="AB86" s="22" t="s">
        <v>72</v>
      </c>
      <c r="AC86" s="23"/>
      <c r="AD86" s="3">
        <f t="shared" ref="AD86" si="150">IF(NOT(NOT(AE85)*1=0),IF(AE86=1,MOD(NOT(AD85),2),MOD(NOT(AD85)+1,2)),IF(NOT(AE85)*1=1,MOD(NOT(AD85)+1,2),MOD(NOT(AD85),2)))</f>
        <v>1</v>
      </c>
      <c r="AE86" s="3">
        <f t="shared" ref="AE86" si="151">IF(NOT(NOT(AF85)*1=0),IF(AF86=1,MOD(NOT(AE85),2),MOD(NOT(AE85)+1,2)),IF(NOT(AF85)*1=1,MOD(NOT(AE85)+1,2),MOD(NOT(AE85),2)))</f>
        <v>0</v>
      </c>
      <c r="AF86" s="3">
        <f>IF(NOT(NOT(AH85)*1=0),IF(AH86=1,MOD(NOT(AF85),2),MOD(NOT(AF85)+1,2)),IF(NOT(AH85)*1=1,MOD(NOT(AF85)+1,2),MOD(NOT(AF85),2)))</f>
        <v>1</v>
      </c>
      <c r="AG86" s="3" t="s">
        <v>37</v>
      </c>
      <c r="AH86" s="3">
        <f t="shared" ref="AH86" si="152">IF(NOT(NOT(AI85)*1=0),IF(AI86=1,MOD(NOT(AH85),2),MOD(NOT(AH85)+1,2)),IF(NOT(AI85)*1=1,MOD(NOT(AH85)+1,2),MOD(NOT(AH85),2)))</f>
        <v>1</v>
      </c>
      <c r="AI86" s="3">
        <f t="shared" ref="AI86" si="153">IF(NOT(NOT(AJ85)*1=0),IF(AJ86=1,MOD(NOT(AI85),2),MOD(NOT(AI85)+1,2)),IF(NOT(AJ85)*1=1,MOD(NOT(AI85)+1,2),MOD(NOT(AI85),2)))</f>
        <v>1</v>
      </c>
      <c r="AJ86" s="3">
        <f t="shared" ref="AJ86" si="154">IF(NOT(NOT(AK85)*1=0),IF(AK86=1,MOD(NOT(AJ85),2),MOD(NOT(AJ85)+1,2)),IF(NOT(AK85)*1=1,MOD(NOT(AJ85)+1,2),MOD(NOT(AJ85),2)))</f>
        <v>1</v>
      </c>
      <c r="AK86" s="3">
        <f>IF(NOT(NOT(AM85)*1=0),IF(AM86=1,MOD(NOT(AK85),2),MOD(NOT(AK85)+1,2)),IF(NOT(AM85)*1=1,MOD(NOT(AK85)+1,2),MOD(NOT(AK85),2)))</f>
        <v>1</v>
      </c>
      <c r="AL86" s="3" t="s">
        <v>37</v>
      </c>
      <c r="AM86" s="3">
        <f t="shared" ref="AM86" si="155">IF(NOT(NOT(AN85)*1=0),IF(AN86=1,MOD(NOT(AM85),2),MOD(NOT(AM85)+1,2)),IF(NOT(AN85)*1=1,MOD(NOT(AM85)+1,2),MOD(NOT(AM85),2)))</f>
        <v>0</v>
      </c>
      <c r="AN86" s="3">
        <f t="shared" ref="AN86" si="156">IF(NOT(NOT(AO85)*1=0),IF(AO86=1,MOD(NOT(AN85),2),MOD(NOT(AN85)+1,2)),IF(NOT(AO85)*1=1,MOD(NOT(AN85)+1,2),MOD(NOT(AN85),2)))</f>
        <v>0</v>
      </c>
      <c r="AO86" s="3">
        <f t="shared" ref="AO86" si="157">IF(NOT(NOT(AP85)*1=0),IF(AP86=1,MOD(NOT(AO85),2),MOD(NOT(AO85)+1,2)),IF(NOT(AP85)*1=1,MOD(NOT(AO85)+1,2),MOD(NOT(AO85),2)))</f>
        <v>1</v>
      </c>
      <c r="AP86" s="3">
        <f>IF(NOT(NOT(AR85)*1=0),IF(AR86=1,MOD(NOT(AP85),2),MOD(NOT(AP85)+1,2)),IF(NOT(AR85)*1=1,MOD(NOT(AP85)+1,2),MOD(NOT(AP85),2)))</f>
        <v>0</v>
      </c>
      <c r="AQ86" s="3" t="s">
        <v>37</v>
      </c>
      <c r="AR86" s="3">
        <f t="shared" ref="AR86" si="158">IF(NOT(NOT(AS85)*1=0),IF(AS86=1,MOD(NOT(AR85),2),MOD(NOT(AR85)+1,2)),IF(NOT(AS85)*1=1,MOD(NOT(AR85)+1,2),MOD(NOT(AR85),2)))</f>
        <v>0</v>
      </c>
      <c r="AS86" s="3">
        <f t="shared" ref="AS86" si="159">IF(NOT(NOT(AT85)*1=0),IF(AT86=1,MOD(NOT(AS85),2),MOD(NOT(AS85)+1,2)),IF(NOT(AT85)*1=1,MOD(NOT(AS85)+1,2),MOD(NOT(AS85),2)))</f>
        <v>0</v>
      </c>
      <c r="AT86" s="3">
        <f>IF(NOT(NOT(AU85)*1=0),IF(AU86=1,MOD(NOT(AT85),2),MOD(NOT(AT85)+1,2)),IF(NOT(AU85)*1=1,MOD(NOT(AT85)+1,2),MOD(NOT(AT85),2)))</f>
        <v>1</v>
      </c>
      <c r="AU86" s="3">
        <f>MOD(NOT(AU85)+1,2)</f>
        <v>0</v>
      </c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24"/>
    </row>
    <row r="87" spans="27:61" x14ac:dyDescent="0.2">
      <c r="AA87" s="18"/>
      <c r="AB87" s="3"/>
      <c r="AC87" s="3"/>
      <c r="AD87" s="3"/>
      <c r="AE87" s="3" t="s">
        <v>56</v>
      </c>
      <c r="AF87" s="3">
        <f>IF(NOT(AC82=AC83),IF(AC85=1,0,1),IF(AC82=1,1,0))</f>
        <v>1</v>
      </c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24"/>
    </row>
    <row r="88" spans="27:61" x14ac:dyDescent="0.2">
      <c r="AA88" s="18"/>
      <c r="AB88" s="3"/>
      <c r="AC88" s="3"/>
      <c r="AD88" s="3"/>
      <c r="AE88" s="3" t="s">
        <v>57</v>
      </c>
      <c r="AF88" s="3">
        <f>IF(MOD(SUM(AM85:AU85),2)=0,1,0)</f>
        <v>1</v>
      </c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24"/>
    </row>
    <row r="89" spans="27:61" x14ac:dyDescent="0.2">
      <c r="AA89" s="18"/>
      <c r="AB89" s="3"/>
      <c r="AC89" s="3"/>
      <c r="AD89" s="3"/>
      <c r="AE89" s="3" t="s">
        <v>58</v>
      </c>
      <c r="AF89" s="3">
        <f>IF(NOT(AS82=AS83),IF(AS85=1,0,1),IF(AS82=1,1,0))</f>
        <v>0</v>
      </c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24"/>
    </row>
    <row r="90" spans="27:61" x14ac:dyDescent="0.2">
      <c r="AA90" s="18"/>
      <c r="AB90" s="3"/>
      <c r="AC90" s="3"/>
      <c r="AD90" s="3"/>
      <c r="AE90" s="3" t="s">
        <v>59</v>
      </c>
      <c r="AF90" s="3">
        <f>IF(SUM(AC85:AU85)=0,1,0)</f>
        <v>0</v>
      </c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24"/>
    </row>
    <row r="91" spans="27:61" x14ac:dyDescent="0.2">
      <c r="AA91" s="18"/>
      <c r="AB91" s="3"/>
      <c r="AC91" s="3"/>
      <c r="AD91" s="3"/>
      <c r="AE91" s="3" t="s">
        <v>60</v>
      </c>
      <c r="AF91" s="3">
        <f>IF(AC85=1,1,0)</f>
        <v>0</v>
      </c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24"/>
    </row>
    <row r="92" spans="27:61" ht="17" thickBot="1" x14ac:dyDescent="0.25">
      <c r="AA92" s="25"/>
      <c r="AB92" s="26"/>
      <c r="AC92" s="26"/>
      <c r="AD92" s="26"/>
      <c r="AE92" s="26" t="s">
        <v>61</v>
      </c>
      <c r="AF92" s="26">
        <f>_xlfn.XOR((IF(NOT(AD82=AD83),IF(AD85=1,0,1),IF(AD82=1,1,0))=1),IF(NOT(AC82=AC83),IF(AC85=1,0,1),IF(AC82=1,1,0))=1)*1</f>
        <v>0</v>
      </c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 t="s">
        <v>71</v>
      </c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7"/>
    </row>
  </sheetData>
  <mergeCells count="14">
    <mergeCell ref="AB60:AC60"/>
    <mergeCell ref="BE69:BI72"/>
    <mergeCell ref="AB73:AC73"/>
    <mergeCell ref="BE82:BI85"/>
    <mergeCell ref="AB86:AC86"/>
    <mergeCell ref="BE4:BI7"/>
    <mergeCell ref="AB47:AC47"/>
    <mergeCell ref="AB34:AC34"/>
    <mergeCell ref="AB21:AC21"/>
    <mergeCell ref="AB8:AC8"/>
    <mergeCell ref="BE56:BI59"/>
    <mergeCell ref="BE17:BI20"/>
    <mergeCell ref="BE30:BI33"/>
    <mergeCell ref="BE43:BI46"/>
  </mergeCells>
  <conditionalFormatting sqref="G4:Y7">
    <cfRule type="cellIs" dxfId="2" priority="2" operator="equal">
      <formula>0</formula>
    </cfRule>
    <cfRule type="cellIs" dxfId="1" priority="1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26" orientation="portrait" horizontalDpi="0" verticalDpi="0"/>
  <headerFooter>
    <oddHeader xml:space="preserve">&amp;L&amp;"Calibri,обычный"&amp;K000000ФИО: ЛАПИН АЛЕКСЕЙ АЛЕКСАНДРОВИЧ
ВАР: 16
ФАЙЛ: &amp;F
ДАТА И ВРЕМЯ СОЗДАНИЯ ФАЙЛА: 
&amp;T &amp;D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20CD-A0C5-D947-88D8-5648D68B91ED}">
  <sheetPr codeName="Лист2"/>
  <dimension ref="A1"/>
  <sheetViews>
    <sheetView topLeftCell="A3" workbookViewId="0">
      <selection activeCell="N14" sqref="N1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2021-12-21T20:23:53Z</dcterms:created>
  <dcterms:modified xsi:type="dcterms:W3CDTF">2021-12-23T15:18:42Z</dcterms:modified>
</cp:coreProperties>
</file>